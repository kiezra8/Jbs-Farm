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4595" windowHeight="8295" tabRatio="599" firstSheet="10" activeTab="12"/>
  </bookViews>
  <sheets>
    <sheet name="DAILY TRANSACTION TRACKER" sheetId="1" r:id="rId1"/>
    <sheet name="DAILY TRANSACTION TRACKER 2" sheetId="2" r:id="rId2"/>
    <sheet name="DAILY TRACKER 3" sheetId="3" r:id="rId3"/>
    <sheet name="DAILY TRACKER 4" sheetId="4" r:id="rId4"/>
    <sheet name="DAILY TRACKER 5" sheetId="5" r:id="rId5"/>
    <sheet name="DAILY TRACKER 6" sheetId="6" r:id="rId6"/>
    <sheet name="DAILY TRACKER 7" sheetId="7" r:id="rId7"/>
    <sheet name="DAILY TRACKER 8" sheetId="8" r:id="rId8"/>
    <sheet name="DAILY TRACKER 9" sheetId="9" r:id="rId9"/>
    <sheet name="DAILY TRACKER 10" sheetId="10" r:id="rId10"/>
    <sheet name="DAILY TRACKER 11" sheetId="11" r:id="rId11"/>
    <sheet name="June Daily Tracker" sheetId="12" r:id="rId12"/>
    <sheet name="JULY DAILY TRACKER" sheetId="13" r:id="rId1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5" i="13" l="1"/>
  <c r="M80" i="13" l="1"/>
  <c r="G9" i="13" l="1"/>
  <c r="M15" i="13" l="1"/>
  <c r="M223" i="13" s="1"/>
  <c r="G223" i="13" l="1"/>
  <c r="G226" i="13" s="1"/>
  <c r="G227" i="13"/>
  <c r="E223" i="13"/>
  <c r="G228" i="13" l="1"/>
  <c r="M244" i="12"/>
  <c r="G271" i="12"/>
  <c r="M145" i="12" l="1"/>
  <c r="M270" i="12" s="1"/>
  <c r="L280" i="12" l="1"/>
  <c r="M281" i="12" s="1"/>
  <c r="G18" i="12" l="1"/>
  <c r="G275" i="12" l="1"/>
  <c r="G274" i="12"/>
  <c r="E271" i="12"/>
  <c r="G276" i="12" l="1"/>
  <c r="I98" i="11"/>
  <c r="J103" i="11"/>
  <c r="K95" i="11"/>
  <c r="F95" i="11"/>
  <c r="J114" i="10" l="1"/>
  <c r="I102" i="11"/>
  <c r="N116" i="10"/>
  <c r="J91" i="11" l="1"/>
  <c r="L81" i="11" l="1"/>
  <c r="F85" i="11" s="1"/>
  <c r="F81" i="11"/>
  <c r="F84" i="11" s="1"/>
  <c r="D81" i="11"/>
  <c r="F86" i="11" l="1"/>
  <c r="L28" i="10" l="1"/>
  <c r="L100" i="10" s="1"/>
  <c r="F104" i="10" l="1"/>
  <c r="F100" i="10"/>
  <c r="F103" i="10" s="1"/>
  <c r="D100" i="10"/>
  <c r="F105" i="10" l="1"/>
  <c r="M84" i="9"/>
  <c r="G88" i="9" s="1"/>
  <c r="G84" i="9"/>
  <c r="G87" i="9" s="1"/>
  <c r="E84" i="9"/>
  <c r="G89" i="9" l="1"/>
  <c r="L78" i="8"/>
  <c r="F82" i="8" s="1"/>
  <c r="F78" i="8"/>
  <c r="F81" i="8" s="1"/>
  <c r="D78" i="8"/>
  <c r="F83" i="8" l="1"/>
  <c r="M81" i="7"/>
  <c r="G85" i="7" l="1"/>
  <c r="G81" i="7"/>
  <c r="G84" i="7" s="1"/>
  <c r="E81" i="7"/>
  <c r="G86" i="7" l="1"/>
  <c r="M77" i="6"/>
  <c r="G81" i="6" s="1"/>
  <c r="G77" i="6"/>
  <c r="G80" i="6" s="1"/>
  <c r="E77" i="6"/>
  <c r="G82" i="6" l="1"/>
  <c r="H12" i="5"/>
  <c r="N74" i="5" l="1"/>
  <c r="H78" i="5" s="1"/>
  <c r="H74" i="5"/>
  <c r="H77" i="5" s="1"/>
  <c r="F74" i="5"/>
  <c r="H79" i="5" l="1"/>
  <c r="O48" i="4"/>
  <c r="I48" i="4" l="1"/>
  <c r="I51" i="4" s="1"/>
  <c r="G48" i="4"/>
  <c r="I52" i="4"/>
  <c r="I53" i="4" l="1"/>
  <c r="L32" i="3"/>
  <c r="L50" i="3" l="1"/>
  <c r="L41" i="3"/>
  <c r="F45" i="3" s="1"/>
  <c r="F41" i="3"/>
  <c r="F44" i="3" s="1"/>
  <c r="D41" i="3"/>
  <c r="F46" i="3" l="1"/>
  <c r="L48" i="2"/>
  <c r="L39" i="2" l="1"/>
  <c r="F39" i="2" l="1"/>
  <c r="F42" i="2" s="1"/>
  <c r="D39" i="2"/>
  <c r="F43" i="2"/>
  <c r="F44" i="2" l="1"/>
  <c r="L69" i="1"/>
  <c r="L35" i="1" l="1"/>
  <c r="J75" i="1" l="1"/>
  <c r="F6" i="1" l="1"/>
  <c r="K87" i="1"/>
  <c r="L87" i="1" s="1"/>
  <c r="J77" i="1"/>
  <c r="F73" i="1" l="1"/>
  <c r="F69" i="1"/>
  <c r="F72" i="1" s="1"/>
  <c r="D69" i="1"/>
  <c r="F74" i="1" l="1"/>
</calcChain>
</file>

<file path=xl/sharedStrings.xml><?xml version="1.0" encoding="utf-8"?>
<sst xmlns="http://schemas.openxmlformats.org/spreadsheetml/2006/main" count="1864" uniqueCount="1086">
  <si>
    <t>CASH BOOK</t>
  </si>
  <si>
    <t>RECEIPTS</t>
  </si>
  <si>
    <t>PAYMENTS</t>
  </si>
  <si>
    <t>Date</t>
  </si>
  <si>
    <t>Client Name</t>
  </si>
  <si>
    <t>Particulars</t>
  </si>
  <si>
    <t>Amount 'USD'</t>
  </si>
  <si>
    <t>Exch rate</t>
  </si>
  <si>
    <t>Amount 'UGX'</t>
  </si>
  <si>
    <t>Payment mode</t>
  </si>
  <si>
    <t>Recipeint</t>
  </si>
  <si>
    <t>Exepense Particulars</t>
  </si>
  <si>
    <t>Transtel Uganda</t>
  </si>
  <si>
    <t>Cash</t>
  </si>
  <si>
    <t>TOTAL</t>
  </si>
  <si>
    <t>Opening bal</t>
  </si>
  <si>
    <t>TOTAL PETT CASH</t>
  </si>
  <si>
    <t>TOTAL EXPENSES</t>
  </si>
  <si>
    <t>Closing cash bal</t>
  </si>
  <si>
    <t>BALANCE</t>
  </si>
  <si>
    <t>JBS KAMPALA TEAM 100  SACCO LIMITED  CASH UTILISATION BY MONTH</t>
  </si>
  <si>
    <t>bf</t>
  </si>
  <si>
    <t>Wepondi simon</t>
  </si>
  <si>
    <t>Maize brand</t>
  </si>
  <si>
    <t>Mr JB</t>
  </si>
  <si>
    <t>Opondo Emmanuel</t>
  </si>
  <si>
    <t>Food for workers</t>
  </si>
  <si>
    <t>CCTV PRO UG LTD</t>
  </si>
  <si>
    <t>Supply &amp; installation of a solar system</t>
  </si>
  <si>
    <t>cash</t>
  </si>
  <si>
    <t>Nicholas Kabagambe</t>
  </si>
  <si>
    <t>DFCU 01363097831348</t>
  </si>
  <si>
    <t>Debt during transportation of the cattle</t>
  </si>
  <si>
    <t>kiiza Ivan (Vet)</t>
  </si>
  <si>
    <t>Drugs, Salt 5 blocks, labour,transport &amp; charges</t>
  </si>
  <si>
    <t>Sandra container village</t>
  </si>
  <si>
    <t>dranching gun manual 70mls</t>
  </si>
  <si>
    <t xml:space="preserve">Digital thermometer(2) </t>
  </si>
  <si>
    <t>Cattle spray pump</t>
  </si>
  <si>
    <t>1 milk can 20ltrs</t>
  </si>
  <si>
    <t>1 milk can 10ltrs</t>
  </si>
  <si>
    <t>transport on delivery</t>
  </si>
  <si>
    <t>cash (Jonathan)</t>
  </si>
  <si>
    <t>from Manager</t>
  </si>
  <si>
    <t>Thinkx soft ware company</t>
  </si>
  <si>
    <t>ssentezo subscription jan-26</t>
  </si>
  <si>
    <t>On boarding and lunch</t>
  </si>
  <si>
    <t>Jb's debt (steve)</t>
  </si>
  <si>
    <t>weed master plus chemicals</t>
  </si>
  <si>
    <t>cow transport</t>
  </si>
  <si>
    <t>fuel for cutting bisagazi</t>
  </si>
  <si>
    <t>vet vaccination</t>
  </si>
  <si>
    <t>farm deseal irrigation</t>
  </si>
  <si>
    <t>dog vaccines</t>
  </si>
  <si>
    <t>cattle transportation</t>
  </si>
  <si>
    <t>Dog vaccines</t>
  </si>
  <si>
    <t>accounted for</t>
  </si>
  <si>
    <t>money given to jb</t>
  </si>
  <si>
    <t>extra used from his own</t>
  </si>
  <si>
    <t>Balance on weed master, 24D and transport</t>
  </si>
  <si>
    <t>Hafusa nawati (Sam builder)</t>
  </si>
  <si>
    <t>building worker's house in Makukube</t>
  </si>
  <si>
    <t>Ear taging and spraying</t>
  </si>
  <si>
    <t xml:space="preserve">office electricity </t>
  </si>
  <si>
    <t>Makubuya brian</t>
  </si>
  <si>
    <t>iron sheets &amp; poles(kreal repair)</t>
  </si>
  <si>
    <t>Mr Simon Mugomba</t>
  </si>
  <si>
    <t>Mr Sigowa Geoffrey</t>
  </si>
  <si>
    <t>Batamuliza Jovia</t>
  </si>
  <si>
    <t>January salary</t>
  </si>
  <si>
    <t>January salary and up keep</t>
  </si>
  <si>
    <t>Tebesigwa Robert</t>
  </si>
  <si>
    <t>hay</t>
  </si>
  <si>
    <t>trasnsport and withdraw cherges</t>
  </si>
  <si>
    <t>Lawrence Waswa kaboggoza</t>
  </si>
  <si>
    <t>pegas technologies ltd</t>
  </si>
  <si>
    <t>Advernce salary</t>
  </si>
  <si>
    <t>Apolo (Okello Robert)</t>
  </si>
  <si>
    <t>Wilfred (Gladys Wasendi)</t>
  </si>
  <si>
    <t>Muwanguzi Joshua (Harriet namwano)</t>
  </si>
  <si>
    <t>Jonathan (Nasimbwa Agnes)</t>
  </si>
  <si>
    <t>Denis (Denis Nyolonga)</t>
  </si>
  <si>
    <t>Francis (Emmanuel Uvungrwoth)</t>
  </si>
  <si>
    <t>Weed master 20ltrs, 24D 4ltrs</t>
  </si>
  <si>
    <t>Transport and cherges</t>
  </si>
  <si>
    <t>food for workers (Makukube)</t>
  </si>
  <si>
    <t>Bank of Africa (kisakye business centre)</t>
  </si>
  <si>
    <t>Rent Jan -2026</t>
  </si>
  <si>
    <t>Transport to the Bank</t>
  </si>
  <si>
    <t>Sarah Tusubira (Jonathan farm)</t>
  </si>
  <si>
    <t>firm diesel irrigation</t>
  </si>
  <si>
    <t>Bore hole digger balance</t>
  </si>
  <si>
    <t xml:space="preserve">Waswa Hasan (Fatuma Nakamya) </t>
  </si>
  <si>
    <t>Gk mini supermarket</t>
  </si>
  <si>
    <t>counter book (expense records)</t>
  </si>
  <si>
    <t>Manager</t>
  </si>
  <si>
    <t>Transport (Bank statement)</t>
  </si>
  <si>
    <t>Ushindi Emmanuel (Manager)</t>
  </si>
  <si>
    <t>Kimbowa (Lawrance Waswa)</t>
  </si>
  <si>
    <t>Essential items for workers at Makukube farm, as ttached in the reciept</t>
  </si>
  <si>
    <t>Transport &amp; charges</t>
  </si>
  <si>
    <t>Weed master 5ltrs, 24D 2ltrs</t>
  </si>
  <si>
    <t>Money Desk</t>
  </si>
  <si>
    <t>Monthly Subscription</t>
  </si>
  <si>
    <t>Further training facilitation for trainer</t>
  </si>
  <si>
    <t>Silver fish for Dogs, cooking oil, Sugar 5kgs, Tomatoes &amp; onions</t>
  </si>
  <si>
    <t>Toilet diging and covering</t>
  </si>
  <si>
    <t>YESU amala agro farmers (Namirembe Esther)</t>
  </si>
  <si>
    <t>4 farmate 20l, 3l BMO, 2 Mamactin</t>
  </si>
  <si>
    <t>TD solar &amp; CCTV cameras(Caro Nakanwagi)</t>
  </si>
  <si>
    <t xml:space="preserve">40W pannd, 18Ah battery 51reg, Uvwire modern wire,  buld*4 </t>
  </si>
  <si>
    <t>Labour &amp; Cherges</t>
  </si>
  <si>
    <t>Kisamba Hardware city(kasimu Uhuru)</t>
  </si>
  <si>
    <t>wheelbarrow 130000 and transpot plus cherges 10000</t>
  </si>
  <si>
    <t>Ssekasi Godfrey( Hardware)</t>
  </si>
  <si>
    <t>Farm equiopments as listed in the reciept (Makukuba farm)</t>
  </si>
  <si>
    <t>Lunch (Workers at Makukuba farm)</t>
  </si>
  <si>
    <t>Transport to Makukuba farm</t>
  </si>
  <si>
    <t>Wepondi Simon</t>
  </si>
  <si>
    <t>Maize Brand 4bags @ 100k Plus Charges</t>
  </si>
  <si>
    <t>Kadoma Benedict</t>
  </si>
  <si>
    <t>Transport for Maize Brand</t>
  </si>
  <si>
    <t>CEO</t>
  </si>
  <si>
    <t>Petty Cash</t>
  </si>
  <si>
    <t>Balance B/F</t>
  </si>
  <si>
    <t>Petty Cash Balance</t>
  </si>
  <si>
    <t>Ushindi Emmanuel (Builders at Makukube)</t>
  </si>
  <si>
    <t>Buvera for covering Toilet and Charges</t>
  </si>
  <si>
    <t>Yesu amala agro garmers (Kimbowa-Waswa Lawrance)</t>
  </si>
  <si>
    <t xml:space="preserve">Bazuka 80@7500= 760000  Dap 8kg @180000=1440000 </t>
  </si>
  <si>
    <t>Charges and Transport</t>
  </si>
  <si>
    <t>Gates construction at Makukube farm</t>
  </si>
  <si>
    <t>Mr JB/ Refund</t>
  </si>
  <si>
    <t xml:space="preserve">Treatment for Animals </t>
  </si>
  <si>
    <t>Savana fibre LTD</t>
  </si>
  <si>
    <t>TID 38425806123</t>
  </si>
  <si>
    <t>Dr G. Muhamad</t>
  </si>
  <si>
    <t>Treatment and Madecines for Cattle</t>
  </si>
  <si>
    <t>Sam (Hasifah Nawatti)</t>
  </si>
  <si>
    <t>Gate making Labour (Deposit)</t>
  </si>
  <si>
    <t>Manager Sigowa</t>
  </si>
  <si>
    <t>Tranport to the Bank for Statement &amp; inquiries about Airtel money Reversal and client money sent to wrong account</t>
  </si>
  <si>
    <t>Montly subscription (internet)</t>
  </si>
  <si>
    <t>Happy Angel</t>
  </si>
  <si>
    <t xml:space="preserve">Bikanja </t>
  </si>
  <si>
    <t>Storage Containers</t>
  </si>
  <si>
    <t>MR JB</t>
  </si>
  <si>
    <t>Fuel to the farm for inspection at Makukube &amp; main farm</t>
  </si>
  <si>
    <t>Kalema Hakim</t>
  </si>
  <si>
    <t>Construction of house for calves</t>
  </si>
  <si>
    <t>gate labeling (team 100 farm etc..) transport and cherges</t>
  </si>
  <si>
    <t>Balance on farm house Makukube</t>
  </si>
  <si>
    <t>Ink for office stamp</t>
  </si>
  <si>
    <t>Transport to the bank (consult about money sent to the wrong number by client</t>
  </si>
  <si>
    <t xml:space="preserve">Transport </t>
  </si>
  <si>
    <t>Dog food, Soap and other needs at the farm</t>
  </si>
  <si>
    <t>Overal</t>
  </si>
  <si>
    <t xml:space="preserve">Ushindi Emmanuel </t>
  </si>
  <si>
    <t>salary advernse</t>
  </si>
  <si>
    <t>Jonathan (Agnes Nasimbwa)</t>
  </si>
  <si>
    <t>Purchased envelopes</t>
  </si>
  <si>
    <t>Melvin Alinitwe</t>
  </si>
  <si>
    <t>Photograghs on the launch day, and vedios</t>
  </si>
  <si>
    <t>Delick kamoga</t>
  </si>
  <si>
    <t>Opondo emmanuel</t>
  </si>
  <si>
    <t>50 kgs posho 110000 &amp; 20kgs beans 80000 plus charges</t>
  </si>
  <si>
    <t>Transport to Makukuba farm, food items, and net</t>
  </si>
  <si>
    <t>Moses (Samalie Nakasi)</t>
  </si>
  <si>
    <t>Brought a new worker at the farm</t>
  </si>
  <si>
    <t>17/</t>
  </si>
  <si>
    <t xml:space="preserve">Fuel to the farm for inspection </t>
  </si>
  <si>
    <t>Buy Dogs for replacement (deposit)</t>
  </si>
  <si>
    <t>CALEB KYOBE</t>
  </si>
  <si>
    <t>Balance on the purchase of new Dogs</t>
  </si>
  <si>
    <t>Ushindi emmanuel</t>
  </si>
  <si>
    <t>Sugar,onions,tomatoes and charges at Makukuba farm</t>
  </si>
  <si>
    <t>2 Reams of Papers for office use</t>
  </si>
  <si>
    <t xml:space="preserve">Cash </t>
  </si>
  <si>
    <t>Transport</t>
  </si>
  <si>
    <t>2 Mattresses and transport for workers to return for wedding</t>
  </si>
  <si>
    <t>wedding maize (10 workers)</t>
  </si>
  <si>
    <t>petty cash</t>
  </si>
  <si>
    <t>bal c/f</t>
  </si>
  <si>
    <t>Gate construction at Makukuba Farm</t>
  </si>
  <si>
    <t>Treatment for Animals at the farm</t>
  </si>
  <si>
    <t>External Drive Back up</t>
  </si>
  <si>
    <t>Salary for Farm workers, Apollo=200000, Jonathan=200000, Francis=200000, Wilfred=200000, Muwanguzi=300000, Ushindi=150000, New worker=50000.</t>
  </si>
  <si>
    <t>Kimbowa</t>
  </si>
  <si>
    <t>Fertilizers: 20 Poeselen=160000, 3BM=84000, 6BM1/2=102000</t>
  </si>
  <si>
    <t>transport including one for Launch day &amp; Charges</t>
  </si>
  <si>
    <t>Sam</t>
  </si>
  <si>
    <t>New feeding Troughs Deposit</t>
  </si>
  <si>
    <t xml:space="preserve">Capital- Nutri Feeds </t>
  </si>
  <si>
    <t>100kgs Brand @ 1000</t>
  </si>
  <si>
    <t>Ar-Rafi Vet Shop</t>
  </si>
  <si>
    <t>5 Miniral Blocks 21g 65000, 2 Miniral Blocks 31g 36000</t>
  </si>
  <si>
    <t>J &amp; J Produce Store</t>
  </si>
  <si>
    <t>25Kgs Rice 115000, 3Litres cookingoil 25000</t>
  </si>
  <si>
    <t>Transport (fuel)</t>
  </si>
  <si>
    <t>Tips (Workers)</t>
  </si>
  <si>
    <t>Labour</t>
  </si>
  <si>
    <t>"</t>
  </si>
  <si>
    <t>2Intertrin 36000, 2Ba Clean 32000, 2 Penstep32000</t>
  </si>
  <si>
    <t>Salary Feb &amp; Upkeep</t>
  </si>
  <si>
    <t>MR JB/ REFUND (Spent on 07/02/2026)</t>
  </si>
  <si>
    <t>Mr JB /Refund (Spent on 07/02/2026)</t>
  </si>
  <si>
    <t>Refund To Mr JB</t>
  </si>
  <si>
    <t xml:space="preserve">Security Guards </t>
  </si>
  <si>
    <t>Mr Sam</t>
  </si>
  <si>
    <t>Dr Juma</t>
  </si>
  <si>
    <t>Artficial Insermination &amp; Inducing</t>
  </si>
  <si>
    <t>Balance on Troughs150000, Charges 3000</t>
  </si>
  <si>
    <t>ThinkX Software LTD</t>
  </si>
  <si>
    <t>Ssentezo March subscription</t>
  </si>
  <si>
    <t>MTN Code 669746</t>
  </si>
  <si>
    <t>Mr Simon Auditor</t>
  </si>
  <si>
    <t>Feb Salary</t>
  </si>
  <si>
    <t>Jonathan</t>
  </si>
  <si>
    <t>Transport to pick Bank Statement</t>
  </si>
  <si>
    <t>Bal B/F</t>
  </si>
  <si>
    <t>M/Money</t>
  </si>
  <si>
    <t>Mr Kunya Bosco</t>
  </si>
  <si>
    <t>Electricity Installation at the Farm 8500000= Balance 3000000=</t>
  </si>
  <si>
    <t>CCTV Pro Ug LTD</t>
  </si>
  <si>
    <t>Camera Installation at Makukube Farm</t>
  </si>
  <si>
    <t>Kisakye Business Centre</t>
  </si>
  <si>
    <t>Office Rent March 2026</t>
  </si>
  <si>
    <t>Bank of Africa 7847430011</t>
  </si>
  <si>
    <t>MTN Mobile Money</t>
  </si>
  <si>
    <t>Withdraw Charges on 10M</t>
  </si>
  <si>
    <t>MTN</t>
  </si>
  <si>
    <t>Maize Spraying &amp; Pesticides</t>
  </si>
  <si>
    <t>Ushindi Emmanuel</t>
  </si>
  <si>
    <t>Transport for the new worker</t>
  </si>
  <si>
    <t>Martha Namabiro</t>
  </si>
  <si>
    <t>Diary Meal With Mineral salts, Toxin binder &amp; Enzymes= 380000. &amp; Transport= 40000</t>
  </si>
  <si>
    <t>Yesu Amala Agro Farm (Kimbowa)</t>
  </si>
  <si>
    <t>24D 2Boxes= 260000, Wead Master 5Boxes= 7500000</t>
  </si>
  <si>
    <t>Transport *2= 45000, Charges on Withdraw= 20000</t>
  </si>
  <si>
    <t xml:space="preserve">Muwanguzi Joshua </t>
  </si>
  <si>
    <t>Sugar 3kgs, Soap 2Bars, 1Ltr Cooking Oil, Charges 1000=</t>
  </si>
  <si>
    <t>Fuel to the Farm</t>
  </si>
  <si>
    <t>Mr Jb</t>
  </si>
  <si>
    <t xml:space="preserve">Eseza katoko </t>
  </si>
  <si>
    <t>Wedding the Bisagazi garden</t>
  </si>
  <si>
    <t>Mr Ramon</t>
  </si>
  <si>
    <t>Transport For Workers</t>
  </si>
  <si>
    <t>mtn</t>
  </si>
  <si>
    <t>Data Bandles 10gb</t>
  </si>
  <si>
    <t>Receipt books (Four) &amp; Transport</t>
  </si>
  <si>
    <t>Ushindi Emanuel</t>
  </si>
  <si>
    <t>Some Food &amp; Spices</t>
  </si>
  <si>
    <t xml:space="preserve">  </t>
  </si>
  <si>
    <t>Mr JB Paid Vet</t>
  </si>
  <si>
    <t xml:space="preserve">Mr JB Paid Apolo </t>
  </si>
  <si>
    <t>Apolo paid Send off</t>
  </si>
  <si>
    <t>Bal to be Acounted for</t>
  </si>
  <si>
    <t>Mr JB (2,100,000)</t>
  </si>
  <si>
    <t xml:space="preserve">Bal from Money Given on 26/02/2026.(2,100,000) </t>
  </si>
  <si>
    <t>George Brought</t>
  </si>
  <si>
    <t xml:space="preserve">Interdan </t>
  </si>
  <si>
    <t>5pcs Feeding Backets=500,000= Automatic 50mls= 300,000= @ 25mls= 250,000=</t>
  </si>
  <si>
    <t>Delivery Transport</t>
  </si>
  <si>
    <t>Refund to Mr JB</t>
  </si>
  <si>
    <t xml:space="preserve">Milking Machine from Staunch Machinery </t>
  </si>
  <si>
    <t>Refund to Mr Jb</t>
  </si>
  <si>
    <t>Transport for two New Workers from village to Farm. 08/03/2026</t>
  </si>
  <si>
    <t>More Two new workers from village Transport. 09/03/2026</t>
  </si>
  <si>
    <t>Supplied 25kgs Rice for Workers at the Main Farm</t>
  </si>
  <si>
    <t>Food Items and 2Mattresses for the new workers at Makukuba Farm</t>
  </si>
  <si>
    <t>Transport for Electricity Workers</t>
  </si>
  <si>
    <t>Bosco Kunya</t>
  </si>
  <si>
    <t>11/03/2026 After Balancing</t>
  </si>
  <si>
    <t xml:space="preserve">Christine Owomugisha </t>
  </si>
  <si>
    <t>Suppervising buying Kalitunsi Poles</t>
  </si>
  <si>
    <t xml:space="preserve">5 Bags Maize Brand </t>
  </si>
  <si>
    <t>Transport to farm (Fuel ) 200000, Tips 50000</t>
  </si>
  <si>
    <t>Savana Fibre</t>
  </si>
  <si>
    <t>Transport Poles</t>
  </si>
  <si>
    <t>Monthly Internet Subscription</t>
  </si>
  <si>
    <t>Mutebi Henry</t>
  </si>
  <si>
    <t>Labour Cutting Trees (Poles)</t>
  </si>
  <si>
    <t xml:space="preserve">MTN Office Line </t>
  </si>
  <si>
    <t>Voice bundles (Freedom Bundles)</t>
  </si>
  <si>
    <t>Joshua (Harriet Namwano)</t>
  </si>
  <si>
    <t>Hummer, Boso, Star, Screwdriver &amp; Jug 50000= Transport &amp; Chareges=6000</t>
  </si>
  <si>
    <t>Mr Opendi</t>
  </si>
  <si>
    <t>Generator connection Fee (No Power for Day) 12/03/26</t>
  </si>
  <si>
    <t>Transport For Trees</t>
  </si>
  <si>
    <t>Transport For Trees (2)</t>
  </si>
  <si>
    <t>Enock Tendo</t>
  </si>
  <si>
    <t>Victoria Nantongo</t>
  </si>
  <si>
    <t>Miniral Block (3) &amp; Charges</t>
  </si>
  <si>
    <t>House to cover Machine</t>
  </si>
  <si>
    <t>Transport For New Workers</t>
  </si>
  <si>
    <t>Total Charges For 8 transctions &amp; withdraw Charges of Bal from 3M.</t>
  </si>
  <si>
    <t>Mr Kafumbe Landlord</t>
  </si>
  <si>
    <t>Last installment on Land Purchase</t>
  </si>
  <si>
    <t>Man Cutting Timber</t>
  </si>
  <si>
    <t>Cutting timber at the Farm</t>
  </si>
  <si>
    <t>Chair Person Committee</t>
  </si>
  <si>
    <t>Signing Land Agreements</t>
  </si>
  <si>
    <t>Shila Council</t>
  </si>
  <si>
    <t>Fuel Facilitation</t>
  </si>
  <si>
    <t>Men Cutting Timber</t>
  </si>
  <si>
    <t>Lanch Facilitation</t>
  </si>
  <si>
    <t>Drinking Water at the Farm</t>
  </si>
  <si>
    <t>Transport For the Builders</t>
  </si>
  <si>
    <t>Builders for new House</t>
  </si>
  <si>
    <t>Fuel facilitation to karangwa to Farm</t>
  </si>
  <si>
    <t>Nets, Pangas, Hoes,Boots, Transport &amp; Charges</t>
  </si>
  <si>
    <t>Transport &amp; Comision</t>
  </si>
  <si>
    <t>Seeds to plant some Veges</t>
  </si>
  <si>
    <t>Mangeni Peter</t>
  </si>
  <si>
    <t>Additional Labor fee (cutting timber) Now 700k</t>
  </si>
  <si>
    <t xml:space="preserve">JJ car Accessories </t>
  </si>
  <si>
    <t>Rire Extinguishers,6kgs, 1kgs-3pcs, 500g-2pcs</t>
  </si>
  <si>
    <t>Home Make Over Ug</t>
  </si>
  <si>
    <t>Construction of small wooden house with a Steel foundation</t>
  </si>
  <si>
    <t>Treatment for Workers Who Ate Poison/ Contaminated food</t>
  </si>
  <si>
    <t>Mr Obed Ben</t>
  </si>
  <si>
    <t>30 Maize Seeds 795000, 2 Pump engines 1040000, 100g Advanta= 1200000, Charges 10000.</t>
  </si>
  <si>
    <t>Balance Labor for Cutting Timber 1st Banch 250000, Transport timber from Neighbour to Farm 70k &amp; Charges 10k</t>
  </si>
  <si>
    <t xml:space="preserve">Delivered by George </t>
  </si>
  <si>
    <t>Balance on previous Cash</t>
  </si>
  <si>
    <t>First Choice Agribusiness LTD</t>
  </si>
  <si>
    <t>20 Diary cows structure construction, Milk polar &amp; Calf pen</t>
  </si>
  <si>
    <t>Brian Akampwera Boda</t>
  </si>
  <si>
    <t>Trnsport for nine Jelicans of Fertilizers</t>
  </si>
  <si>
    <t>Jovia</t>
  </si>
  <si>
    <t>Jerycan to change Fertilizer &amp; Transport</t>
  </si>
  <si>
    <t xml:space="preserve">Dehorning </t>
  </si>
  <si>
    <t>Ssekitoleko Hassan</t>
  </si>
  <si>
    <t>Dr G Muhammad</t>
  </si>
  <si>
    <t xml:space="preserve">Treatment </t>
  </si>
  <si>
    <t>Muwanguzi (Harriet Namwano)</t>
  </si>
  <si>
    <t>Advanse Salary</t>
  </si>
  <si>
    <t>Water Digger</t>
  </si>
  <si>
    <t>Hiring Generator</t>
  </si>
  <si>
    <t>Purchasing Posho 50kgs with transport &amp; charges</t>
  </si>
  <si>
    <t xml:space="preserve">Mr JB </t>
  </si>
  <si>
    <t>Data for security Cameras</t>
  </si>
  <si>
    <t>Electricity for Office</t>
  </si>
  <si>
    <t>Opondo</t>
  </si>
  <si>
    <t>Sugar 4kgs, 2Bars soap, 1ltr Cookingoil, Spices.</t>
  </si>
  <si>
    <t xml:space="preserve">Kimbowa </t>
  </si>
  <si>
    <t>Fuel for spraying Maize, 2T &amp; Transport</t>
  </si>
  <si>
    <t>Peter Mangeni</t>
  </si>
  <si>
    <t xml:space="preserve">1st Payment for cutting timber 2nd banch 307000+205000 </t>
  </si>
  <si>
    <t>Fuel &amp; Tips</t>
  </si>
  <si>
    <t>Sending fee for 3 transactions</t>
  </si>
  <si>
    <t xml:space="preserve">Caleb Kyobe </t>
  </si>
  <si>
    <t>Treatment For Dogs &amp; sending charges</t>
  </si>
  <si>
    <t>Office line pegasus technologies Ltd</t>
  </si>
  <si>
    <t>Mattress, Posho,Beans and other staffs with Charges</t>
  </si>
  <si>
    <t>Manager George</t>
  </si>
  <si>
    <t>Ticket booking to Kenya &amp; withdraw Charges</t>
  </si>
  <si>
    <t>Ssekandi</t>
  </si>
  <si>
    <t>Pellets &amp; Farm Vist</t>
  </si>
  <si>
    <t>2nd Payment for cutting Timber 2nd Bunch &amp; Charges</t>
  </si>
  <si>
    <t>Refund for 2 Workers send off Salary sent to Ushindi</t>
  </si>
  <si>
    <t>Jonathan Farm</t>
  </si>
  <si>
    <t>Refund for 3 New Workers Transport from Village</t>
  </si>
  <si>
    <t>Mr Nicholas Land Lord</t>
  </si>
  <si>
    <t>Additional Payment on Land lease Makukuba</t>
  </si>
  <si>
    <t>Posho, Spices Repair of the Spraying Gun &amp; Charges</t>
  </si>
  <si>
    <t>Magambo Jumah</t>
  </si>
  <si>
    <t>Artifical Insamination</t>
  </si>
  <si>
    <t>Martha Okia Atim</t>
  </si>
  <si>
    <t>Fish Expert</t>
  </si>
  <si>
    <t>Daniel Gardening Guy</t>
  </si>
  <si>
    <t>Garden Planning</t>
  </si>
  <si>
    <t>Mr Nicholas</t>
  </si>
  <si>
    <t>Withdraw Charges</t>
  </si>
  <si>
    <t>March Salary</t>
  </si>
  <si>
    <t>Drugs for cows, Transport &amp; Charges</t>
  </si>
  <si>
    <t>Kimbowa (Lawrence Wasswa)</t>
  </si>
  <si>
    <t>Internet bandles</t>
  </si>
  <si>
    <t>Last payment of the 2nd bunch of timber &amp; Charges</t>
  </si>
  <si>
    <t>Data for Makukuba Farm Cameras+ sending Charges</t>
  </si>
  <si>
    <t>Thinkx soft Ware</t>
  </si>
  <si>
    <t>Ssentezo System</t>
  </si>
  <si>
    <t>Code 669746</t>
  </si>
  <si>
    <t xml:space="preserve">Jovia Batamuliza </t>
  </si>
  <si>
    <t>4kg Sugar,1ltr Oil, 2bars soap, Mukene, Spices, &amp; Charges</t>
  </si>
  <si>
    <t xml:space="preserve">Mr Simon </t>
  </si>
  <si>
    <t>Muwanguzi Joshua</t>
  </si>
  <si>
    <t>Got from infotrust office</t>
  </si>
  <si>
    <t>Petty cash</t>
  </si>
  <si>
    <t>Balance on Previous cash</t>
  </si>
  <si>
    <t>balance</t>
  </si>
  <si>
    <t>Office Rent April</t>
  </si>
  <si>
    <t>Maganda med</t>
  </si>
  <si>
    <t>Security Guards</t>
  </si>
  <si>
    <t>Salary March</t>
  </si>
  <si>
    <t>Shafik Surveyor</t>
  </si>
  <si>
    <t>Surveying land Makukuba into 10 Acca potions</t>
  </si>
  <si>
    <t>John Vist Vet</t>
  </si>
  <si>
    <t>Treatment for Cows</t>
  </si>
  <si>
    <t>Food, Transport Worker, Charges</t>
  </si>
  <si>
    <t>Rice, Meat &amp; Charges/Transport Makukuba</t>
  </si>
  <si>
    <t>Rice, Meat Main Farm, Planting Bisagazi</t>
  </si>
  <si>
    <t>Transport For New workers</t>
  </si>
  <si>
    <t>Sending Charges for 3 Transactions</t>
  </si>
  <si>
    <t>Transport to town King Fahad</t>
  </si>
  <si>
    <t>Timber &amp; Farm work Facillitation, Additional Labor</t>
  </si>
  <si>
    <t>Criton Ahabwe (First Choice)</t>
  </si>
  <si>
    <t>Mtn</t>
  </si>
  <si>
    <t>Office Line</t>
  </si>
  <si>
    <t>Gatho Muhammad</t>
  </si>
  <si>
    <t>Vaccinating Cows</t>
  </si>
  <si>
    <t>Transort For Ssentezo Agent</t>
  </si>
  <si>
    <t>Ritah Ssentezo</t>
  </si>
  <si>
    <t>Generator Hiring to Cut timber &amp; Welding</t>
  </si>
  <si>
    <t>Oboth Brian</t>
  </si>
  <si>
    <t>sending charges for 2 transactions</t>
  </si>
  <si>
    <t>Transport to the bank to pick statement</t>
  </si>
  <si>
    <t>Stationary By Jovia</t>
  </si>
  <si>
    <t>2Reams of Papers &amp; Staples</t>
  </si>
  <si>
    <t>Padlocks for the Table Drawers</t>
  </si>
  <si>
    <t>Savana Fibre LTD</t>
  </si>
  <si>
    <t>sf 2579716</t>
  </si>
  <si>
    <t>Paying Farm Workers Salary, Fuel &amp; Others</t>
  </si>
  <si>
    <t>Monthly Subscrition &amp; Charges</t>
  </si>
  <si>
    <t>Medical Bill, Food, Gum Boots For New Workers At Makukuba Farm</t>
  </si>
  <si>
    <t>Sending Charges</t>
  </si>
  <si>
    <t>Infotrust</t>
  </si>
  <si>
    <t xml:space="preserve">Electricity  Installation Main Farm </t>
  </si>
  <si>
    <t>Bal from Previous Cash</t>
  </si>
  <si>
    <t>From Infotrust Office</t>
  </si>
  <si>
    <t>Refund to Infotrust</t>
  </si>
  <si>
    <t>Paid Brian (Home Make over Ug) for Wooden Cabin</t>
  </si>
  <si>
    <t>Muhammad Gatho</t>
  </si>
  <si>
    <t>Brian (Home Make Over Ug)</t>
  </si>
  <si>
    <t>Nakanyike Christine</t>
  </si>
  <si>
    <t>2 Big flasks at the Main Farm &amp; Charges</t>
  </si>
  <si>
    <t>Kimbowa Transporter</t>
  </si>
  <si>
    <t>Dap 4 Bags @ at 200k, Transport 15k &amp; Charges 20k</t>
  </si>
  <si>
    <t>Sending Charges for 2 Transactions</t>
  </si>
  <si>
    <t>Treating Cows Half pay of 265000</t>
  </si>
  <si>
    <t>Bal of 265000 for cow treatment</t>
  </si>
  <si>
    <t>Freedom Bandles 200 M</t>
  </si>
  <si>
    <t>Transport for new worker</t>
  </si>
  <si>
    <t>Racheal Bisikwa</t>
  </si>
  <si>
    <t>Food, Spices &amp; other Essentials at the Main Farm</t>
  </si>
  <si>
    <t>2 Box Files @ 7000</t>
  </si>
  <si>
    <t>Additional Pay On Wooden Cabin 1.5M Plus 1.5M</t>
  </si>
  <si>
    <t>Abdallah Investments</t>
  </si>
  <si>
    <t>Buiding equipments/ Materials Eg Gutters, Tank, Wheelbarrow, Timber etc..</t>
  </si>
  <si>
    <t>Merchant ID 6716468</t>
  </si>
  <si>
    <t xml:space="preserve">Sending Charges </t>
  </si>
  <si>
    <t>Emmanuel Ayungrwoth</t>
  </si>
  <si>
    <t>Desiel for Machinary at the Main Farm &amp;Transport</t>
  </si>
  <si>
    <t>Sending Charges 2 Transactions</t>
  </si>
  <si>
    <t>JB office</t>
  </si>
  <si>
    <t>Bal on previous Cash</t>
  </si>
  <si>
    <t>Desiel for Farm Work Silege</t>
  </si>
  <si>
    <t>Refund to Mr JB Paid Stabex</t>
  </si>
  <si>
    <t>Refund to Mr JB Paid Rubis</t>
  </si>
  <si>
    <t>Petrol For Machinary Cutting Silage</t>
  </si>
  <si>
    <t>Refund to Mr JB Paid Mukama Mulungi Farm Store</t>
  </si>
  <si>
    <t>Feeding Ranks &amp; Weighing Scale</t>
  </si>
  <si>
    <t>First Choice Agribusiness</t>
  </si>
  <si>
    <t>Emmanuel Ayungrwoth (francis Farm)</t>
  </si>
  <si>
    <t xml:space="preserve">More Fuel for cutting silage 5ltrs &amp; Transport </t>
  </si>
  <si>
    <t>Hard Ware (Abdu Kasujja)</t>
  </si>
  <si>
    <t>Equipments,Kavera for covering Silage</t>
  </si>
  <si>
    <t>Tractor Guy Kasozi</t>
  </si>
  <si>
    <t>Ploughing Garden Main Farm</t>
  </si>
  <si>
    <t>Balance on Purchase of Cows</t>
  </si>
  <si>
    <t>Carol Cows Kenya M/Pesa</t>
  </si>
  <si>
    <t>Itungo Pastures (Pison)</t>
  </si>
  <si>
    <t>Alphalpha Grass Seeds</t>
  </si>
  <si>
    <t>Harriet Namwano (Muwanguzi)</t>
  </si>
  <si>
    <t xml:space="preserve">Manager sigowa </t>
  </si>
  <si>
    <t>Fuel to the Farm Silage Supervision &amp; Boda to pick Fuel</t>
  </si>
  <si>
    <t>Sending Charges 2 transactions</t>
  </si>
  <si>
    <t>Cutting Maize Casual Labor Workers, Ropes</t>
  </si>
  <si>
    <t>Brian Home MakeOver UG</t>
  </si>
  <si>
    <t>Plus 1M</t>
  </si>
  <si>
    <t>Furaha</t>
  </si>
  <si>
    <t>Hiring Generator &amp; Fuel</t>
  </si>
  <si>
    <t>Kimbowa transporter</t>
  </si>
  <si>
    <t>Drugs for Cows &amp; Transport</t>
  </si>
  <si>
    <t>Facillitation to Kenya</t>
  </si>
  <si>
    <t>Sent to Mr Jb in Kenya for Cows</t>
  </si>
  <si>
    <t>Wasswa Richard tight farm</t>
  </si>
  <si>
    <t>Facillitation to Farm for technical knowledge</t>
  </si>
  <si>
    <t>Internet Bundles 8 GB</t>
  </si>
  <si>
    <t xml:space="preserve">Ali Kikwaso </t>
  </si>
  <si>
    <t>Animal Feeds</t>
  </si>
  <si>
    <t xml:space="preserve">Farm Audit </t>
  </si>
  <si>
    <t>Armless Chairs</t>
  </si>
  <si>
    <t xml:space="preserve">Denis Matovu Erimiya GlassMart </t>
  </si>
  <si>
    <t>Constructing Tank Basses Balance is 500k</t>
  </si>
  <si>
    <t>First Choice (Aspah Ayebare)</t>
  </si>
  <si>
    <t>Post Maturm</t>
  </si>
  <si>
    <t>Vet Dr</t>
  </si>
  <si>
    <t>Silage Making Material &amp; labor Bal 885000</t>
  </si>
  <si>
    <t>Madco Investment (Martha)</t>
  </si>
  <si>
    <t xml:space="preserve">Posho, Beans&amp; other Food staffs </t>
  </si>
  <si>
    <t>Ushindi Makukuba Farm</t>
  </si>
  <si>
    <t xml:space="preserve">Infotrust </t>
  </si>
  <si>
    <t>Office Admin</t>
  </si>
  <si>
    <t>Advance</t>
  </si>
  <si>
    <t xml:space="preserve">Justine </t>
  </si>
  <si>
    <t>Supervised the planting of Alphalpha</t>
  </si>
  <si>
    <t>Kimbowa (lawrence)</t>
  </si>
  <si>
    <t>Animal Drugs, Transport &amp; Charges</t>
  </si>
  <si>
    <t>Geoffrey Electricity</t>
  </si>
  <si>
    <t>Proccessing Meter</t>
  </si>
  <si>
    <t>Muwanguzi Farm</t>
  </si>
  <si>
    <t>Food &amp; other essencials =165200, Trasport=50k, Medical Bills=30000</t>
  </si>
  <si>
    <t>Scanning Documents for Insurance Processing</t>
  </si>
  <si>
    <t>Salary Balance April</t>
  </si>
  <si>
    <t>Cow Shade Additional Amount  on Labor Bal 544000</t>
  </si>
  <si>
    <t xml:space="preserve">Fuel &amp; Other expenses </t>
  </si>
  <si>
    <t>Petty cash bal</t>
  </si>
  <si>
    <t>Madco Invest (Martha)</t>
  </si>
  <si>
    <t>Balance on Silage Making</t>
  </si>
  <si>
    <t xml:space="preserve">First Choice </t>
  </si>
  <si>
    <t>bal on tanks and cowshade Costruction</t>
  </si>
  <si>
    <t>Abdullah Envestments</t>
  </si>
  <si>
    <t>Horse pipe 3/4</t>
  </si>
  <si>
    <t>6716468 Code</t>
  </si>
  <si>
    <t>James Katabalwa</t>
  </si>
  <si>
    <t>Electricity Saveyor</t>
  </si>
  <si>
    <t xml:space="preserve">Refund the money given on 24/04/2026 </t>
  </si>
  <si>
    <t>Sending &amp; withdraw Charges</t>
  </si>
  <si>
    <t>ssentezo Subscription may</t>
  </si>
  <si>
    <t>669746 code</t>
  </si>
  <si>
    <t>Think x Software</t>
  </si>
  <si>
    <t>Mr Simon</t>
  </si>
  <si>
    <t>April Salary</t>
  </si>
  <si>
    <t>10lt Kerol (cleaning Cow shade) &amp; Transport</t>
  </si>
  <si>
    <t>Apogral Farm (Sandrah)</t>
  </si>
  <si>
    <t>Agape Electronics</t>
  </si>
  <si>
    <t xml:space="preserve">Extension Cable </t>
  </si>
  <si>
    <t>Salary April</t>
  </si>
  <si>
    <t>Med Maganda</t>
  </si>
  <si>
    <t>Farm Workers</t>
  </si>
  <si>
    <t>Main Farm 4 Workers April</t>
  </si>
  <si>
    <t>Food &amp; Medical Makukuba Farm</t>
  </si>
  <si>
    <t>Office Rent (May)</t>
  </si>
  <si>
    <t>Kisakye Building</t>
  </si>
  <si>
    <t>Their Phones</t>
  </si>
  <si>
    <t>Security Guards May Salary</t>
  </si>
  <si>
    <t>Milk</t>
  </si>
  <si>
    <t xml:space="preserve">Bosco Kunya </t>
  </si>
  <si>
    <t>Purchasing Wires</t>
  </si>
  <si>
    <t>More Electricity Wires</t>
  </si>
  <si>
    <t>Data bandles</t>
  </si>
  <si>
    <t>Office line</t>
  </si>
  <si>
    <t>Brian home make over ug</t>
  </si>
  <si>
    <t>Doors &amp; Windows</t>
  </si>
  <si>
    <t>Farmers animal feed store</t>
  </si>
  <si>
    <t>To Agent</t>
  </si>
  <si>
    <t>2 Transction Charges</t>
  </si>
  <si>
    <t>`</t>
  </si>
  <si>
    <t>Animal Feeds 366600 &amp;Transport From kiwango to farm 50000</t>
  </si>
  <si>
    <t>Animal Drugs</t>
  </si>
  <si>
    <t>Labor for electricity installation</t>
  </si>
  <si>
    <t>Muwanguzi</t>
  </si>
  <si>
    <t>MM&amp;Cash</t>
  </si>
  <si>
    <t>Into Petty Cash</t>
  </si>
  <si>
    <t>MM Deposits</t>
  </si>
  <si>
    <t>Farm Income</t>
  </si>
  <si>
    <t>Food &amp; Other Requirements</t>
  </si>
  <si>
    <t>Client Withdraw, couldn’t get petty cash from bank</t>
  </si>
  <si>
    <t>sf2579716</t>
  </si>
  <si>
    <t xml:space="preserve">Internet </t>
  </si>
  <si>
    <t>Half salary for Munyanziza sabato</t>
  </si>
  <si>
    <t xml:space="preserve">Ushindi </t>
  </si>
  <si>
    <t>Furaha Joan Withdraw</t>
  </si>
  <si>
    <t>Agent</t>
  </si>
  <si>
    <t>Premix (animal feeds)</t>
  </si>
  <si>
    <t>By sharif Boda</t>
  </si>
  <si>
    <t>To be Refunded</t>
  </si>
  <si>
    <t>From JB</t>
  </si>
  <si>
    <t xml:space="preserve">Petty Cash </t>
  </si>
  <si>
    <t>Into petty cash</t>
  </si>
  <si>
    <t>Animal feeds</t>
  </si>
  <si>
    <t>Brian Home make ug</t>
  </si>
  <si>
    <t>Food &amp; other Essentials Main Farm</t>
  </si>
  <si>
    <t>Fertilizers 380,000 &amp; Transport 10k &amp; 7k Cherges</t>
  </si>
  <si>
    <t xml:space="preserve">Animal Drugs 128000 Transport for Cowdung 114000 </t>
  </si>
  <si>
    <t xml:space="preserve">Reserving Name </t>
  </si>
  <si>
    <t>Interior finishing</t>
  </si>
  <si>
    <t>Brian Home Makeover ug</t>
  </si>
  <si>
    <t>Mr JB not paid</t>
  </si>
  <si>
    <t xml:space="preserve"> 11/05/2026</t>
  </si>
  <si>
    <t>Workers Salaries Makukuba Farm</t>
  </si>
  <si>
    <t xml:space="preserve">Total </t>
  </si>
  <si>
    <t>Water pump &amp; wire cable</t>
  </si>
  <si>
    <t>Log cutting, Transport &amp; TimberCutting</t>
  </si>
  <si>
    <t>First choice Cowshade &amp; Tank bases construction</t>
  </si>
  <si>
    <t>Home make cabin construction</t>
  </si>
  <si>
    <t>Installing Water pump &amp; Balance for cowdung transportation</t>
  </si>
  <si>
    <t>Francis Ochola</t>
  </si>
  <si>
    <t>Bukoto to inquire generator prices</t>
  </si>
  <si>
    <t>Welding Door to cover manihole</t>
  </si>
  <si>
    <t>Cows Sold</t>
  </si>
  <si>
    <t>Into petty Cash</t>
  </si>
  <si>
    <t xml:space="preserve">Transport to Kalagi to meet  Sallers  </t>
  </si>
  <si>
    <t>Food and other essentials at Makukuba Farm</t>
  </si>
  <si>
    <t>Animal feeds as listed in the receipts</t>
  </si>
  <si>
    <t>Ali Kikwaso</t>
  </si>
  <si>
    <t>Akim Lubega</t>
  </si>
  <si>
    <t>Weighing Scale</t>
  </si>
  <si>
    <t>Sandra town (supplier)</t>
  </si>
  <si>
    <t>Transport for Cows</t>
  </si>
  <si>
    <t>Transport to Lyantonde &amp; Kazo</t>
  </si>
  <si>
    <t>Company Registration</t>
  </si>
  <si>
    <t>Nets &amp; Beedsheets for Workers</t>
  </si>
  <si>
    <t>Chair Man &amp; Transporters for Cows</t>
  </si>
  <si>
    <t>Brec youth Empowerment Africa ltd</t>
  </si>
  <si>
    <t>Refund after purchase of cows on 19th</t>
  </si>
  <si>
    <t>from info office</t>
  </si>
  <si>
    <t>Purchasing cows pay back YPA</t>
  </si>
  <si>
    <t>paid</t>
  </si>
  <si>
    <t>Pevious Cash</t>
  </si>
  <si>
    <t>Fuel facillitation &amp; fuel at the farm</t>
  </si>
  <si>
    <t>Mr Kakiika Muhammad</t>
  </si>
  <si>
    <t>Buying Abull</t>
  </si>
  <si>
    <t>Cash collection</t>
  </si>
  <si>
    <t>Animal Drugs &amp; Transport</t>
  </si>
  <si>
    <t>Transporter</t>
  </si>
  <si>
    <t>MM Collection</t>
  </si>
  <si>
    <t>James Adverse salary</t>
  </si>
  <si>
    <t>mr JB not Paid</t>
  </si>
  <si>
    <t>Kimbowa Boda</t>
  </si>
  <si>
    <t xml:space="preserve">Fertilizers Makukuba farm </t>
  </si>
  <si>
    <t>Vet animal Treatment</t>
  </si>
  <si>
    <t>Ssali Justin</t>
  </si>
  <si>
    <t>Sodust</t>
  </si>
  <si>
    <t>Katende Kaggwa</t>
  </si>
  <si>
    <t>Food &amp; Essentials Main Farm</t>
  </si>
  <si>
    <t>Opondo Emmanuel Shop</t>
  </si>
  <si>
    <t>Food &amp; Essentials Makukuba</t>
  </si>
  <si>
    <t>MM &amp; Cash Collection</t>
  </si>
  <si>
    <t>Refund to CEO</t>
  </si>
  <si>
    <t>Lease Tittle proccesing</t>
  </si>
  <si>
    <t>Mr Nichoras contribution</t>
  </si>
  <si>
    <t>Sacco contribution</t>
  </si>
  <si>
    <t>Animals sold</t>
  </si>
  <si>
    <t>JB Cow</t>
  </si>
  <si>
    <t xml:space="preserve">Total from 4 </t>
  </si>
  <si>
    <t>Total Amount Demanded By JB</t>
  </si>
  <si>
    <t>Total</t>
  </si>
  <si>
    <t>Received Office</t>
  </si>
  <si>
    <t>Received JB</t>
  </si>
  <si>
    <t>Less JB cow</t>
  </si>
  <si>
    <t xml:space="preserve">Mr JB Refund </t>
  </si>
  <si>
    <t>water pump, pipes cable Charges</t>
  </si>
  <si>
    <t>Cow Sale Funds</t>
  </si>
  <si>
    <t>refunded to JB from Cow sole Funds</t>
  </si>
  <si>
    <t>Refunded from Cow Sale funds</t>
  </si>
  <si>
    <t>Workers Salaries Makukuba Farm (April)</t>
  </si>
  <si>
    <t>Cow sale funds</t>
  </si>
  <si>
    <t>To Brian Home Make</t>
  </si>
  <si>
    <t>Refunded to Mr JB</t>
  </si>
  <si>
    <t>Transporting Cows</t>
  </si>
  <si>
    <t>Transport to Lyantonde &amp; Kazo to source for Cows</t>
  </si>
  <si>
    <t>Premix &amp; Culciam</t>
  </si>
  <si>
    <t>Received By JB for Refunds</t>
  </si>
  <si>
    <t>Mr Nichorus Land Lord</t>
  </si>
  <si>
    <t>Reduced on his lease money for registration in Sacco</t>
  </si>
  <si>
    <t>Reduced on lease Amount for Lease Tittle proccesing</t>
  </si>
  <si>
    <t>Sent to tittle processing team</t>
  </si>
  <si>
    <t>Think X soft Ware</t>
  </si>
  <si>
    <t xml:space="preserve">June Subscription </t>
  </si>
  <si>
    <t>669746 Code</t>
  </si>
  <si>
    <t>Staff meals</t>
  </si>
  <si>
    <t>May Salary</t>
  </si>
  <si>
    <t>Milk Sold</t>
  </si>
  <si>
    <t xml:space="preserve">Melvin </t>
  </si>
  <si>
    <t>A dozeen of spanders</t>
  </si>
  <si>
    <t xml:space="preserve">Sandra Supplier </t>
  </si>
  <si>
    <t>Fuel &amp; expenses at farm</t>
  </si>
  <si>
    <t>May Balance</t>
  </si>
  <si>
    <t>Printing Passport Photos</t>
  </si>
  <si>
    <t>Rent June 2026</t>
  </si>
  <si>
    <t>Kisakye Business centre</t>
  </si>
  <si>
    <t>Total Salary for Makukuba Farm Workers</t>
  </si>
  <si>
    <t>ID 10017231707</t>
  </si>
  <si>
    <t>Withdrawn by agent for Miniral Block</t>
  </si>
  <si>
    <t>Husein Muluuta</t>
  </si>
  <si>
    <t>Food on 29th May Meeting</t>
  </si>
  <si>
    <t>Security Guards June Salary</t>
  </si>
  <si>
    <t xml:space="preserve">Muwanguzi </t>
  </si>
  <si>
    <t xml:space="preserve">Salary for Main Farm (4)Workers </t>
  </si>
  <si>
    <t>James (Bisikwa)</t>
  </si>
  <si>
    <t xml:space="preserve">James Bal of salary </t>
  </si>
  <si>
    <t>Bikanja 10 tones balance=800k</t>
  </si>
  <si>
    <t>Peter Kenya</t>
  </si>
  <si>
    <t>Transport for Annimal Feeds</t>
  </si>
  <si>
    <t>Transport to Sikia Advocate</t>
  </si>
  <si>
    <t>Vasita Lands</t>
  </si>
  <si>
    <t xml:space="preserve">Transport Facilitation </t>
  </si>
  <si>
    <t>JOVIA</t>
  </si>
  <si>
    <t>May 2026  Salary</t>
  </si>
  <si>
    <t>White board Markers &amp; Duster</t>
  </si>
  <si>
    <t>Office Use</t>
  </si>
  <si>
    <t>Salt for Mixing Bikanja</t>
  </si>
  <si>
    <t>Petu kugumikiriza</t>
  </si>
  <si>
    <t>Balance Bikanja</t>
  </si>
  <si>
    <t>Angel Happy</t>
  </si>
  <si>
    <t>fuel &amp; Breakfast silage day Makukuba</t>
  </si>
  <si>
    <t>05/062026</t>
  </si>
  <si>
    <t>Balance on Construction</t>
  </si>
  <si>
    <t>Sam Constructor</t>
  </si>
  <si>
    <t>3 Tundubale &amp; fuel</t>
  </si>
  <si>
    <t>Sharifu Boda</t>
  </si>
  <si>
    <t>Sandra Supplier</t>
  </si>
  <si>
    <t>Casual Workers for Silage Making</t>
  </si>
  <si>
    <t>Sharif Boda</t>
  </si>
  <si>
    <t>Fuel &amp; Data</t>
  </si>
  <si>
    <t>office line</t>
  </si>
  <si>
    <t>Internet bundles 10gb</t>
  </si>
  <si>
    <t>labour casual workers &amp; boda</t>
  </si>
  <si>
    <t>MM collection</t>
  </si>
  <si>
    <t>Sharif boda</t>
  </si>
  <si>
    <t>Chairs on Launch day</t>
  </si>
  <si>
    <t>Ruth Nakalembe</t>
  </si>
  <si>
    <t>Placing Silage</t>
  </si>
  <si>
    <t>Farm use</t>
  </si>
  <si>
    <t>Kasozi Tractor</t>
  </si>
  <si>
    <t>Farm equipment eg Hoes</t>
  </si>
  <si>
    <t>fuel silage day &amp; Drinks</t>
  </si>
  <si>
    <t>From Bank</t>
  </si>
  <si>
    <t>Essentials at Makukuba Farm</t>
  </si>
  <si>
    <t>Transport to Bank</t>
  </si>
  <si>
    <t>transport Check book</t>
  </si>
  <si>
    <t>Lands offices tittle</t>
  </si>
  <si>
    <t>Robert Mbazira</t>
  </si>
  <si>
    <t>Ushndi Emmanuel</t>
  </si>
  <si>
    <t>Silage Making</t>
  </si>
  <si>
    <t>Martha Silage</t>
  </si>
  <si>
    <t>Fuel to do Farm Supevision</t>
  </si>
  <si>
    <t>Registration of Investment Club</t>
  </si>
  <si>
    <t>Plumbing Work Farm House</t>
  </si>
  <si>
    <t>Plumber</t>
  </si>
  <si>
    <t>Salifu Kilanda</t>
  </si>
  <si>
    <t>Esther Kenya</t>
  </si>
  <si>
    <t>Wiring of the farm house</t>
  </si>
  <si>
    <t>Mr JB Meeting</t>
  </si>
  <si>
    <t>Office Refreshment</t>
  </si>
  <si>
    <t>Office</t>
  </si>
  <si>
    <t>kasozi tractor</t>
  </si>
  <si>
    <t>Drainage of Makukuba farm</t>
  </si>
  <si>
    <t>shafik saveyor</t>
  </si>
  <si>
    <t xml:space="preserve">Saveying Makukuba for Drainage </t>
  </si>
  <si>
    <t>Mr Nicholas land</t>
  </si>
  <si>
    <t>kasozi Tractor</t>
  </si>
  <si>
    <t>Additional pay on Drainage Makukuba</t>
  </si>
  <si>
    <t>transport chairs on Launch day Phase 3</t>
  </si>
  <si>
    <t>Isingoma Hassan</t>
  </si>
  <si>
    <t>Into Petty cash</t>
  </si>
  <si>
    <t>Ramon Nassa</t>
  </si>
  <si>
    <t>Supplied 4 Reciept Books</t>
  </si>
  <si>
    <t>Member Withdaw their Savings</t>
  </si>
  <si>
    <t>Muhindo Saidi</t>
  </si>
  <si>
    <t>Andrew Ssemanda</t>
  </si>
  <si>
    <t>Withdraw on Savings</t>
  </si>
  <si>
    <t>Resolution</t>
  </si>
  <si>
    <t>Bal after Audit</t>
  </si>
  <si>
    <t>Bal from Manager</t>
  </si>
  <si>
    <t>TV, Star times, TV stand &amp; Transport</t>
  </si>
  <si>
    <t>By Melvin</t>
  </si>
  <si>
    <t>Mr Nicholas Land</t>
  </si>
  <si>
    <t>Additional pay on Land Lease</t>
  </si>
  <si>
    <t>Savana Fibre ltd</t>
  </si>
  <si>
    <t>Opondo Shop</t>
  </si>
  <si>
    <t>Food for Main Farm &amp; Essencials</t>
  </si>
  <si>
    <t>plumbimg work main farm</t>
  </si>
  <si>
    <t>Drugs &amp; other Medical Equipments</t>
  </si>
  <si>
    <t>Nakalema (Alex)</t>
  </si>
  <si>
    <t>Welding Work main Farm</t>
  </si>
  <si>
    <t xml:space="preserve">Mariam (yusufu) </t>
  </si>
  <si>
    <t>Additional pay on Drainage</t>
  </si>
  <si>
    <t>Additional payment on Makukuba land</t>
  </si>
  <si>
    <t>Welding Work final payment</t>
  </si>
  <si>
    <t>Alex (Nakalema)</t>
  </si>
  <si>
    <t>Yusuf (Mariam)</t>
  </si>
  <si>
    <t>Payment on Labor Plumber</t>
  </si>
  <si>
    <t>charges 3 transactins</t>
  </si>
  <si>
    <t>Dainage additonal pay making 10m</t>
  </si>
  <si>
    <t>Building Latrine for Workers</t>
  </si>
  <si>
    <t>Sam (hasifah)</t>
  </si>
  <si>
    <t>Sent to Kenya to come help on Structures</t>
  </si>
  <si>
    <t>Isaac thaithi Kenya</t>
  </si>
  <si>
    <t>Booking for Cows</t>
  </si>
  <si>
    <t>Jonan Kandwanaho</t>
  </si>
  <si>
    <t>Bank tips</t>
  </si>
  <si>
    <t>2 scrubing brushes (15/June)</t>
  </si>
  <si>
    <t>Advanse for James farm Worker</t>
  </si>
  <si>
    <t>Muwanguzi for James</t>
  </si>
  <si>
    <t>Sarah Kyolaba supplier</t>
  </si>
  <si>
    <t>Transport town to &amp; from</t>
  </si>
  <si>
    <t>Manure 20 trucks</t>
  </si>
  <si>
    <t>Mr Kakiika</t>
  </si>
  <si>
    <t>Maize Brand 500kgs</t>
  </si>
  <si>
    <t>By Antipas (suzan Shop)</t>
  </si>
  <si>
    <t>Mickdad Member</t>
  </si>
  <si>
    <t>Assisted with money to be refunded</t>
  </si>
  <si>
    <t>4 Sending charges &amp; withdraw Milk money</t>
  </si>
  <si>
    <t>Sending Charges 5 transactions</t>
  </si>
  <si>
    <t>Transporting Manure</t>
  </si>
  <si>
    <t>Land Lease Balance</t>
  </si>
  <si>
    <t>Miss Vasta Lands</t>
  </si>
  <si>
    <t>Land Proccessing Balance</t>
  </si>
  <si>
    <t>Mamber withdraw from savings</t>
  </si>
  <si>
    <t>Alinda agnes</t>
  </si>
  <si>
    <t>Commision on land lease tittle processing</t>
  </si>
  <si>
    <t>Vasta Lands</t>
  </si>
  <si>
    <t>Bought Dog</t>
  </si>
  <si>
    <t>Kyobe Caleb</t>
  </si>
  <si>
    <t>Fuel &amp; Feeding Kenyan Workers</t>
  </si>
  <si>
    <t>Food &amp; Essentials Makukuba Farm</t>
  </si>
  <si>
    <t>Sending Charges 3 transactions</t>
  </si>
  <si>
    <t>Member withdraw on savings</t>
  </si>
  <si>
    <t>Furaha Joan</t>
  </si>
  <si>
    <t>Transport to Kenyan Consultants &amp; facillitation</t>
  </si>
  <si>
    <t>Dap Benzomax, Bmo &amp; Transport with charges</t>
  </si>
  <si>
    <t>Kimbowa, Lawrance</t>
  </si>
  <si>
    <t>Sam (Hasifah)</t>
  </si>
  <si>
    <t>Latrine Construction Additional pay</t>
  </si>
  <si>
    <t>Rukoni Phanse</t>
  </si>
  <si>
    <t>New worker Net &amp; Bedsheet</t>
  </si>
  <si>
    <t>Charges 8 transactions</t>
  </si>
  <si>
    <t xml:space="preserve">James Farm </t>
  </si>
  <si>
    <t xml:space="preserve">Advance Salary  </t>
  </si>
  <si>
    <t>Balance on Labor for Latrine Construction</t>
  </si>
  <si>
    <t>Yusuf Plumber Mariam Nagawa</t>
  </si>
  <si>
    <t>Animal Drugs, Treamer &amp; Transport town</t>
  </si>
  <si>
    <t>Airtime office Bundles</t>
  </si>
  <si>
    <t>Tip Bank Guards</t>
  </si>
  <si>
    <t>Internet bundles</t>
  </si>
  <si>
    <t>sending Charges 3 &amp; Transport ntinda bank</t>
  </si>
  <si>
    <t>Animal Lab Tests</t>
  </si>
  <si>
    <t>Vet Justine</t>
  </si>
  <si>
    <t>Timber Cutting</t>
  </si>
  <si>
    <t>Nassonko Lydia</t>
  </si>
  <si>
    <t>Stephen Nganga</t>
  </si>
  <si>
    <t>M Pesa +254757450544</t>
  </si>
  <si>
    <t>M Pesa 254790005147</t>
  </si>
  <si>
    <t>Isaac Thaithi</t>
  </si>
  <si>
    <t>Deposit Labor Cow shade Construction 200k ksh</t>
  </si>
  <si>
    <t>Napier Chuff Cutter 45,000Ksh</t>
  </si>
  <si>
    <t>members files 200 pcs And 2 Reams</t>
  </si>
  <si>
    <t>Farm Expenses by Mr JB</t>
  </si>
  <si>
    <t>M pessa kenya 5600ksh balance</t>
  </si>
  <si>
    <t>Addional on Napier Cutter</t>
  </si>
  <si>
    <t>Building Materials ,cement etc</t>
  </si>
  <si>
    <t>Antipa Farm</t>
  </si>
  <si>
    <t>Transport for Builders</t>
  </si>
  <si>
    <t xml:space="preserve">Fuel Facillitation to the Farm Supervision </t>
  </si>
  <si>
    <t>Building Materials eg Hardcore</t>
  </si>
  <si>
    <t>Kabejja Material Supplier</t>
  </si>
  <si>
    <t>3 Transactions charges</t>
  </si>
  <si>
    <t>Last payment on Plumbing Work at the Farm</t>
  </si>
  <si>
    <t>Cash Collection</t>
  </si>
  <si>
    <t>Bal Hardcore, Nkokoto &amp; Stonedust</t>
  </si>
  <si>
    <t>Kabejja Ekisaalita</t>
  </si>
  <si>
    <t>Antipa Farm for builders</t>
  </si>
  <si>
    <t>Additional pay on labor cow shade construction</t>
  </si>
  <si>
    <t>Withdraw Mamber savings</t>
  </si>
  <si>
    <t>Babirye Sharon</t>
  </si>
  <si>
    <t>Transport for Timber</t>
  </si>
  <si>
    <t>Kalema Joseph</t>
  </si>
  <si>
    <t>Balance on Drainage Makukuba</t>
  </si>
  <si>
    <t>Allen Kaganda</t>
  </si>
  <si>
    <t>Bricks 4.5m &amp; Transportation 900k</t>
  </si>
  <si>
    <t>222699 Momo Code</t>
  </si>
  <si>
    <t>Logs for Cowshade construction</t>
  </si>
  <si>
    <t>Musisi Ronald</t>
  </si>
  <si>
    <t>Revenue on Napier Cutter</t>
  </si>
  <si>
    <t>Tibenderana</t>
  </si>
  <si>
    <t>JB SCH</t>
  </si>
  <si>
    <t>Cash Collecton</t>
  </si>
  <si>
    <t>Tamale Joseph</t>
  </si>
  <si>
    <t>JB sch</t>
  </si>
  <si>
    <t>Pay Logs</t>
  </si>
  <si>
    <t>venue</t>
  </si>
  <si>
    <t>Tranportation  Drugs to Farm</t>
  </si>
  <si>
    <t xml:space="preserve">Sandra (Boda) </t>
  </si>
  <si>
    <t>Animal Sold</t>
  </si>
  <si>
    <t>Partial Payment Sand</t>
  </si>
  <si>
    <t>Kabejja Supplier</t>
  </si>
  <si>
    <t>last Paymet on Sand</t>
  </si>
  <si>
    <t>JB Fashion Office</t>
  </si>
  <si>
    <t>Pay Back</t>
  </si>
  <si>
    <t>Labor Diverting Pipes to allow new shelter</t>
  </si>
  <si>
    <t>Yusuf Plumber</t>
  </si>
  <si>
    <t>Transport, Loading &amp; Off Loading Timber</t>
  </si>
  <si>
    <t>Food for Workers Makukuba</t>
  </si>
  <si>
    <t>Logs for Cowshade construction Second Payment</t>
  </si>
  <si>
    <t>Jb Fashion</t>
  </si>
  <si>
    <t>Pay Sand</t>
  </si>
  <si>
    <t>Nails Constrction</t>
  </si>
  <si>
    <t xml:space="preserve"> Top up to make 890000</t>
  </si>
  <si>
    <t>Borrow from Mr JB</t>
  </si>
  <si>
    <t>Buy Nails</t>
  </si>
  <si>
    <t>Electrical Equipments</t>
  </si>
  <si>
    <t>Nails for construction new Shelter &amp; Deposit on Pipe</t>
  </si>
  <si>
    <t>Transportation of Napier cutter from Boader</t>
  </si>
  <si>
    <t>Jimmy Dramisoga</t>
  </si>
  <si>
    <t>Member withdaw savings</t>
  </si>
  <si>
    <t>Alinda Agnes(Rusia)</t>
  </si>
  <si>
    <t>Expenses at the Farm During Construction</t>
  </si>
  <si>
    <t>20M - Debt 3,110,000</t>
  </si>
  <si>
    <t xml:space="preserve">Merchant </t>
  </si>
  <si>
    <t>Pipes for Cowshade constructions</t>
  </si>
  <si>
    <t>Rashal Investments</t>
  </si>
  <si>
    <t>5 transaction Charges</t>
  </si>
  <si>
    <t>Fuel to Mityana to sauce for Cows</t>
  </si>
  <si>
    <t>Akandinda Susan</t>
  </si>
  <si>
    <t>Salary June</t>
  </si>
  <si>
    <t>Additional payment Labor Cow shade construction</t>
  </si>
  <si>
    <t>Antipa For Kenyan Builders</t>
  </si>
  <si>
    <t>Bal from June</t>
  </si>
  <si>
    <t>Kyozira William</t>
  </si>
  <si>
    <t>June Salary Main Farm Workers</t>
  </si>
  <si>
    <t xml:space="preserve">Antipa </t>
  </si>
  <si>
    <t>Logose Phiona (Mukibi Ivan)</t>
  </si>
  <si>
    <t>Salary Charges &amp; Transport</t>
  </si>
  <si>
    <t>Salary Makukuba Workers</t>
  </si>
  <si>
    <t>Maize Brand</t>
  </si>
  <si>
    <t>Maize for Silage</t>
  </si>
  <si>
    <t>Postmortum Dr From Makerere</t>
  </si>
  <si>
    <t>Bikanja Balance</t>
  </si>
  <si>
    <t>Slaughter Dead Bull</t>
  </si>
  <si>
    <t>Member Quit Phase Three</t>
  </si>
  <si>
    <t>Member Quit Sacco</t>
  </si>
  <si>
    <t>Refund for Pipe Joints</t>
  </si>
  <si>
    <t>Transport Bank</t>
  </si>
  <si>
    <t>Antipa</t>
  </si>
  <si>
    <t>Mr Haman</t>
  </si>
  <si>
    <t>Brian Asiimwe</t>
  </si>
  <si>
    <t>Food for Workers Main Farm</t>
  </si>
  <si>
    <t>Ndawula James</t>
  </si>
  <si>
    <t>Linus Akankunda</t>
  </si>
  <si>
    <t>Nalwoga Gertrude</t>
  </si>
  <si>
    <t>Centenary 3020561088</t>
  </si>
  <si>
    <t>Mike Kisaame</t>
  </si>
  <si>
    <t>Kyaligonza Fravia</t>
  </si>
  <si>
    <t>Muhammad Gattho</t>
  </si>
  <si>
    <t>Data Bundles</t>
  </si>
  <si>
    <t>Additional pay on Maize for Silage</t>
  </si>
  <si>
    <t>Safina Nakityaba</t>
  </si>
  <si>
    <t>Additional Bricks &amp; Transportation</t>
  </si>
  <si>
    <t>Additional  Cement Cowshade Construction</t>
  </si>
  <si>
    <t>Abdul Kasujja</t>
  </si>
  <si>
    <t>Fuel, Diseal Silage Cutting &amp; Aprooting Stock</t>
  </si>
  <si>
    <t>Additional labor Kenyan Builder cow shade</t>
  </si>
  <si>
    <t>Sent to Antipa</t>
  </si>
  <si>
    <t xml:space="preserve">Kenyan Builder Labor ksh 33000 </t>
  </si>
  <si>
    <t>Stephen nganga</t>
  </si>
  <si>
    <t>Withdraw Charges on Antipa phone 1M</t>
  </si>
  <si>
    <t xml:space="preserve">Albabenzole Animal Drug </t>
  </si>
  <si>
    <t xml:space="preserve">By Sandra </t>
  </si>
  <si>
    <t>Animal Drug transport town</t>
  </si>
  <si>
    <t>Boda</t>
  </si>
  <si>
    <t>Transport to Farm Drugs</t>
  </si>
  <si>
    <t>Salif Boda</t>
  </si>
  <si>
    <t>Office Phone</t>
  </si>
  <si>
    <t>Fuel ken on silege day</t>
  </si>
  <si>
    <t>Transportation of Maize for Silege</t>
  </si>
  <si>
    <t>Robert Kwizuka</t>
  </si>
  <si>
    <t>Lawrence Kabogoza</t>
  </si>
  <si>
    <t>Tractor Compacting Silage</t>
  </si>
  <si>
    <t>Fuel for Cutting Silage</t>
  </si>
  <si>
    <t xml:space="preserve">Transportation of Maize for Silage </t>
  </si>
  <si>
    <t>Ken (Robert kwizuka)</t>
  </si>
  <si>
    <t>Fuel for Silage Cutting</t>
  </si>
  <si>
    <t>Last Payment of Maize for silage</t>
  </si>
  <si>
    <t>Miiro Herman</t>
  </si>
  <si>
    <t>Antipa (Builder)</t>
  </si>
  <si>
    <t>Payment on Labor Kenyan Builder1M &amp; Charges</t>
  </si>
  <si>
    <t>Office Electricity (Yaka)</t>
  </si>
  <si>
    <t>Transport Bank Withdraw</t>
  </si>
  <si>
    <t>Member Withdraw savings</t>
  </si>
  <si>
    <t>Busingye Adrine</t>
  </si>
  <si>
    <t>Member Withdraw Shares &amp; Saving</t>
  </si>
  <si>
    <t>Wakibugu Timothy</t>
  </si>
  <si>
    <t>Tractor Compacting Silage last Payment</t>
  </si>
  <si>
    <t>Materials Covering Silage &amp; other expences &amp; Tools</t>
  </si>
  <si>
    <t>Francis Bill</t>
  </si>
  <si>
    <t>Advance Salary July</t>
  </si>
  <si>
    <t>DianaKukunda (Tractor guy)</t>
  </si>
  <si>
    <t>Buvera for covering silage</t>
  </si>
  <si>
    <t>Nalwanga Shop</t>
  </si>
  <si>
    <t>Spliting Timber Costruction</t>
  </si>
  <si>
    <t>Food &amp; other Essentials at Makukuba Farm</t>
  </si>
  <si>
    <t>Generator office (Power off)</t>
  </si>
  <si>
    <t>Certificates &amp; Transport</t>
  </si>
  <si>
    <t>Simon Segirinya (Boda)</t>
  </si>
  <si>
    <t xml:space="preserve">Manager </t>
  </si>
  <si>
    <t>Paying Workers who Worked on Silage</t>
  </si>
  <si>
    <t>George Fashion</t>
  </si>
  <si>
    <t>Member Withdraw Savings</t>
  </si>
  <si>
    <t>Nalubega Irene (Talemwa ivan)</t>
  </si>
  <si>
    <t>JBs Request</t>
  </si>
  <si>
    <t>2 Wheelbarrow &amp; New Tyres</t>
  </si>
  <si>
    <t>Making silage Technical team</t>
  </si>
  <si>
    <t>Madam Martha</t>
  </si>
  <si>
    <t>4 transactions Sending fees</t>
  </si>
  <si>
    <t>Salary June/ 2026</t>
  </si>
  <si>
    <t>Salary Manager June 2026</t>
  </si>
  <si>
    <t>Member Withdraw from Club</t>
  </si>
  <si>
    <t>Rent July 2026</t>
  </si>
  <si>
    <t>Additional Labor Builder Ksh 50,000=</t>
  </si>
  <si>
    <t>Stephen Nganga Builder</t>
  </si>
  <si>
    <t>Spices eg cooking, tomatoes</t>
  </si>
  <si>
    <t>Internet Monthly July 2026</t>
  </si>
  <si>
    <t>Charity Kadondo</t>
  </si>
  <si>
    <t>Repair Water Pump</t>
  </si>
  <si>
    <t>Charges</t>
  </si>
  <si>
    <t>4 transactions charges</t>
  </si>
  <si>
    <t xml:space="preserve">Tobacco seeds </t>
  </si>
  <si>
    <t>Petro Fuel for napier Cutter</t>
  </si>
  <si>
    <t>4 Box files</t>
  </si>
  <si>
    <t>4 Catoons of Water</t>
  </si>
  <si>
    <t>Damalie Nalunga</t>
  </si>
  <si>
    <t>Moses Maira</t>
  </si>
  <si>
    <t>Charges &amp; Transport</t>
  </si>
  <si>
    <t>Transport facilitation &amp; Upkeep to Western to source for cows.</t>
  </si>
  <si>
    <t>Member withdraw savings</t>
  </si>
  <si>
    <t>New Water Pump</t>
  </si>
  <si>
    <t>E20042026040765</t>
  </si>
  <si>
    <t>Electricity at the farm</t>
  </si>
  <si>
    <t>Farmers Savings &amp; Credit</t>
  </si>
  <si>
    <t>New Electricity Meter at the Farm</t>
  </si>
  <si>
    <t>Additional labor for Kenyan Builders</t>
  </si>
  <si>
    <t>Antipa for Builders</t>
  </si>
  <si>
    <t>Data Antipa Farm</t>
  </si>
  <si>
    <t>Isima Mbajja</t>
  </si>
  <si>
    <t>Members Withdraw Savings</t>
  </si>
  <si>
    <t xml:space="preserve">Maize Brand </t>
  </si>
  <si>
    <t xml:space="preserve">Plumbing Materials </t>
  </si>
  <si>
    <t>Airtime /Voice Bundles on Office Line</t>
  </si>
  <si>
    <t>Transport to Bank, Withdrawing</t>
  </si>
  <si>
    <t>Jbs Fashion Account</t>
  </si>
  <si>
    <t>Bank for paying  Cows in Cash</t>
  </si>
  <si>
    <t>Withdraw from Savings</t>
  </si>
  <si>
    <t>Musiimenta Brenda</t>
  </si>
  <si>
    <t>Fuel &amp; other Expenses</t>
  </si>
  <si>
    <t xml:space="preserve">Cement top up 60bags </t>
  </si>
  <si>
    <t>Equity 1032100720050</t>
  </si>
  <si>
    <t>Payment of Cows Phase3</t>
  </si>
  <si>
    <t>Twamwikiriza Jane</t>
  </si>
  <si>
    <t>Loading &amp; Permit Cows</t>
  </si>
  <si>
    <t>Paul Kakondo</t>
  </si>
  <si>
    <t xml:space="preserve">Tugume </t>
  </si>
  <si>
    <t>Edris Kagolo</t>
  </si>
  <si>
    <t>Transportation of Cows From Gomba Partial Pay</t>
  </si>
  <si>
    <t>Buying Poles for Quick cow shade</t>
  </si>
  <si>
    <t xml:space="preserve">4 transaction charges </t>
  </si>
  <si>
    <t>Labor to fix the locks</t>
  </si>
  <si>
    <t>1 Drower Lock</t>
  </si>
  <si>
    <t xml:space="preserve">Antipa Advance for Personal use </t>
  </si>
  <si>
    <t>Carpenter</t>
  </si>
  <si>
    <t>Buying Car Battery in the Field</t>
  </si>
  <si>
    <t>8 transactions charges</t>
  </si>
  <si>
    <t>Food &amp; Essentials for Workers at the main farm</t>
  </si>
  <si>
    <t xml:space="preserve">Animal Drugs &amp; milk cans </t>
  </si>
  <si>
    <t>Sandra supplier</t>
  </si>
  <si>
    <t xml:space="preserve">Materials for quick shelter of Cows </t>
  </si>
  <si>
    <t>Bisaso Supplier</t>
  </si>
  <si>
    <t>Poles for construction</t>
  </si>
  <si>
    <t>Labor construction of urgent shelter for ne cows</t>
  </si>
  <si>
    <t>Sam Builder</t>
  </si>
  <si>
    <t>Last payment of transportation of cows from gomba</t>
  </si>
  <si>
    <t>Kagolo Edris</t>
  </si>
  <si>
    <t>Data bandles 10GB</t>
  </si>
  <si>
    <t>Data Bandles</t>
  </si>
  <si>
    <t>Poles for Construction of Quick Shelter</t>
  </si>
  <si>
    <t>Stones for Construction of  Quick cow Shelter</t>
  </si>
  <si>
    <t>Francis Lumu Supplier</t>
  </si>
  <si>
    <t>Sandra supplier- Boda</t>
  </si>
  <si>
    <t>Wheel Barrow tyres, iron sheets, Nails &amp; Charges</t>
  </si>
  <si>
    <t>Food &amp; Essentials for Workers at Makukuba farm</t>
  </si>
  <si>
    <t>Ear Tags 100 pcs &amp; Transport</t>
  </si>
  <si>
    <t xml:space="preserve">Vet Transport &amp; Materials for Picking Samples </t>
  </si>
  <si>
    <t xml:space="preserve">Ken- Robert </t>
  </si>
  <si>
    <t>Transporting ironsheets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</si>
</sst>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2" xfId="0" applyFont="1" applyFill="1" applyBorder="1"/>
    <xf numFmtId="0" fontId="4" fillId="2" borderId="2" xfId="0" applyFont="1" applyFill="1" applyBorder="1" applyAlignment="1">
      <alignment wrapText="1"/>
    </xf>
    <xf numFmtId="165" fontId="4" fillId="2" borderId="2" xfId="1" applyNumberFormat="1" applyFont="1" applyFill="1" applyBorder="1" applyAlignment="1">
      <alignment wrapText="1"/>
    </xf>
    <xf numFmtId="0" fontId="4" fillId="0" borderId="0" xfId="0" applyFont="1"/>
    <xf numFmtId="14" fontId="4" fillId="0" borderId="2" xfId="0" applyNumberFormat="1" applyFont="1" applyBorder="1"/>
    <xf numFmtId="0" fontId="4" fillId="0" borderId="2" xfId="0" applyFont="1" applyBorder="1"/>
    <xf numFmtId="165" fontId="4" fillId="0" borderId="2" xfId="1" applyNumberFormat="1" applyFont="1" applyBorder="1"/>
    <xf numFmtId="165" fontId="4" fillId="2" borderId="2" xfId="1" applyNumberFormat="1" applyFont="1" applyFill="1" applyBorder="1"/>
    <xf numFmtId="165" fontId="5" fillId="0" borderId="0" xfId="1" applyNumberFormat="1" applyFont="1"/>
    <xf numFmtId="165" fontId="4" fillId="0" borderId="0" xfId="1" applyNumberFormat="1" applyFont="1"/>
    <xf numFmtId="165" fontId="5" fillId="0" borderId="2" xfId="1" applyNumberFormat="1" applyFont="1" applyBorder="1"/>
    <xf numFmtId="0" fontId="4" fillId="0" borderId="3" xfId="0" applyFont="1" applyBorder="1"/>
    <xf numFmtId="165" fontId="4" fillId="0" borderId="3" xfId="1" applyNumberFormat="1" applyFont="1" applyBorder="1"/>
    <xf numFmtId="0" fontId="4" fillId="0" borderId="4" xfId="0" applyFont="1" applyBorder="1"/>
    <xf numFmtId="0" fontId="4" fillId="0" borderId="5" xfId="0" applyFont="1" applyBorder="1"/>
    <xf numFmtId="165" fontId="4" fillId="0" borderId="5" xfId="1" applyNumberFormat="1" applyFont="1" applyBorder="1"/>
    <xf numFmtId="165" fontId="4" fillId="0" borderId="6" xfId="1" applyNumberFormat="1" applyFont="1" applyBorder="1"/>
    <xf numFmtId="0" fontId="4" fillId="0" borderId="2" xfId="0" applyFont="1" applyBorder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1" fontId="4" fillId="0" borderId="0" xfId="2" applyFont="1"/>
    <xf numFmtId="9" fontId="4" fillId="0" borderId="2" xfId="3" applyFont="1" applyBorder="1"/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/>
    <xf numFmtId="14" fontId="4" fillId="0" borderId="2" xfId="0" applyNumberFormat="1" applyFont="1" applyBorder="1" applyAlignment="1"/>
    <xf numFmtId="165" fontId="4" fillId="0" borderId="7" xfId="1" applyNumberFormat="1" applyFont="1" applyFill="1" applyBorder="1"/>
    <xf numFmtId="0" fontId="2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8" xfId="0" applyFont="1" applyBorder="1"/>
    <xf numFmtId="0" fontId="0" fillId="0" borderId="2" xfId="0" applyBorder="1" applyAlignment="1">
      <alignment wrapText="1"/>
    </xf>
    <xf numFmtId="0" fontId="0" fillId="0" borderId="2" xfId="0" applyBorder="1"/>
    <xf numFmtId="0" fontId="4" fillId="0" borderId="0" xfId="0" applyFont="1" applyBorder="1"/>
    <xf numFmtId="165" fontId="4" fillId="0" borderId="0" xfId="1" applyNumberFormat="1" applyFont="1" applyBorder="1"/>
    <xf numFmtId="0" fontId="2" fillId="0" borderId="0" xfId="0" applyFont="1" applyAlignment="1">
      <alignment horizontal="center"/>
    </xf>
    <xf numFmtId="0" fontId="4" fillId="0" borderId="8" xfId="0" applyFont="1" applyBorder="1" applyAlignment="1">
      <alignment wrapText="1"/>
    </xf>
    <xf numFmtId="14" fontId="4" fillId="0" borderId="2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1" fontId="0" fillId="0" borderId="0" xfId="2" applyFont="1"/>
    <xf numFmtId="0" fontId="2" fillId="0" borderId="0" xfId="0" applyFont="1" applyAlignment="1">
      <alignment horizontal="center"/>
    </xf>
    <xf numFmtId="1" fontId="4" fillId="0" borderId="2" xfId="0" applyNumberFormat="1" applyFont="1" applyBorder="1"/>
    <xf numFmtId="0" fontId="2" fillId="0" borderId="0" xfId="0" applyFont="1" applyAlignment="1">
      <alignment horizontal="center"/>
    </xf>
    <xf numFmtId="41" fontId="0" fillId="0" borderId="2" xfId="2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41" fontId="0" fillId="0" borderId="13" xfId="2" applyFont="1" applyBorder="1"/>
    <xf numFmtId="41" fontId="0" fillId="0" borderId="13" xfId="2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6" fillId="0" borderId="15" xfId="0" applyFont="1" applyBorder="1"/>
    <xf numFmtId="41" fontId="6" fillId="0" borderId="16" xfId="0" applyNumberFormat="1" applyFont="1" applyBorder="1"/>
    <xf numFmtId="0" fontId="0" fillId="0" borderId="0" xfId="0"/>
    <xf numFmtId="0" fontId="0" fillId="0" borderId="0" xfId="0"/>
    <xf numFmtId="0" fontId="0" fillId="0" borderId="12" xfId="0" applyBorder="1"/>
    <xf numFmtId="0" fontId="0" fillId="0" borderId="0" xfId="0" applyBorder="1"/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6" fillId="0" borderId="0" xfId="0" applyFont="1"/>
    <xf numFmtId="41" fontId="0" fillId="0" borderId="13" xfId="0" applyNumberFormat="1" applyBorder="1"/>
    <xf numFmtId="41" fontId="0" fillId="0" borderId="0" xfId="0" applyNumberFormat="1"/>
    <xf numFmtId="0" fontId="0" fillId="0" borderId="0" xfId="0"/>
    <xf numFmtId="0" fontId="7" fillId="0" borderId="0" xfId="0" applyFont="1"/>
    <xf numFmtId="41" fontId="8" fillId="0" borderId="0" xfId="2" applyFont="1"/>
    <xf numFmtId="41" fontId="7" fillId="0" borderId="0" xfId="0" applyNumberFormat="1" applyFont="1"/>
    <xf numFmtId="0" fontId="0" fillId="3" borderId="0" xfId="0" applyFill="1"/>
    <xf numFmtId="0" fontId="0" fillId="0" borderId="0" xfId="0" applyAlignment="1"/>
    <xf numFmtId="0" fontId="0" fillId="3" borderId="0" xfId="0" applyFill="1" applyAlignment="1"/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14" fontId="10" fillId="0" borderId="2" xfId="0" applyNumberFormat="1" applyFont="1" applyBorder="1"/>
    <xf numFmtId="0" fontId="10" fillId="0" borderId="2" xfId="0" applyFont="1" applyBorder="1" applyAlignment="1">
      <alignment wrapText="1"/>
    </xf>
    <xf numFmtId="165" fontId="10" fillId="0" borderId="2" xfId="1" applyNumberFormat="1" applyFont="1" applyBorder="1"/>
    <xf numFmtId="0" fontId="10" fillId="0" borderId="2" xfId="0" applyFont="1" applyBorder="1"/>
    <xf numFmtId="165" fontId="4" fillId="0" borderId="2" xfId="1" applyNumberFormat="1" applyFont="1" applyBorder="1" applyAlignment="1">
      <alignment wrapText="1"/>
    </xf>
    <xf numFmtId="165" fontId="4" fillId="0" borderId="2" xfId="1" applyNumberFormat="1" applyFont="1" applyBorder="1" applyAlignment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/>
    <xf numFmtId="41" fontId="0" fillId="0" borderId="0" xfId="2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1" fontId="4" fillId="0" borderId="2" xfId="2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" fontId="4" fillId="0" borderId="2" xfId="0" applyNumberFormat="1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/>
    <xf numFmtId="165" fontId="3" fillId="0" borderId="2" xfId="1" applyNumberFormat="1" applyFont="1" applyBorder="1"/>
    <xf numFmtId="165" fontId="3" fillId="0" borderId="6" xfId="1" applyNumberFormat="1" applyFont="1" applyBorder="1"/>
    <xf numFmtId="0" fontId="3" fillId="0" borderId="3" xfId="0" applyFont="1" applyBorder="1"/>
    <xf numFmtId="41" fontId="11" fillId="0" borderId="2" xfId="2" applyFont="1" applyBorder="1"/>
    <xf numFmtId="0" fontId="11" fillId="0" borderId="2" xfId="0" applyFont="1" applyBorder="1" applyAlignment="1">
      <alignment wrapText="1"/>
    </xf>
    <xf numFmtId="0" fontId="11" fillId="0" borderId="2" xfId="0" applyFont="1" applyBorder="1"/>
    <xf numFmtId="0" fontId="3" fillId="0" borderId="8" xfId="0" applyFont="1" applyBorder="1" applyAlignment="1">
      <alignment wrapText="1"/>
    </xf>
    <xf numFmtId="0" fontId="11" fillId="0" borderId="0" xfId="0" applyFont="1" applyAlignment="1">
      <alignment wrapText="1"/>
    </xf>
    <xf numFmtId="165" fontId="3" fillId="0" borderId="7" xfId="1" applyNumberFormat="1" applyFont="1" applyFill="1" applyBorder="1"/>
    <xf numFmtId="14" fontId="3" fillId="0" borderId="2" xfId="0" applyNumberFormat="1" applyFont="1" applyBorder="1" applyAlignment="1">
      <alignment wrapText="1"/>
    </xf>
    <xf numFmtId="165" fontId="3" fillId="0" borderId="2" xfId="1" applyNumberFormat="1" applyFont="1" applyFill="1" applyBorder="1"/>
    <xf numFmtId="0" fontId="3" fillId="2" borderId="2" xfId="0" applyFont="1" applyFill="1" applyBorder="1"/>
    <xf numFmtId="165" fontId="3" fillId="2" borderId="2" xfId="1" applyNumberFormat="1" applyFont="1" applyFill="1" applyBorder="1"/>
    <xf numFmtId="165" fontId="3" fillId="0" borderId="0" xfId="1" applyNumberFormat="1" applyFont="1"/>
    <xf numFmtId="165" fontId="2" fillId="0" borderId="0" xfId="1" applyNumberFormat="1" applyFont="1"/>
    <xf numFmtId="165" fontId="2" fillId="0" borderId="2" xfId="1" applyNumberFormat="1" applyFont="1" applyBorder="1"/>
    <xf numFmtId="165" fontId="3" fillId="0" borderId="3" xfId="1" applyNumberFormat="1" applyFont="1" applyBorder="1"/>
    <xf numFmtId="0" fontId="3" fillId="0" borderId="4" xfId="0" applyFont="1" applyBorder="1"/>
    <xf numFmtId="0" fontId="3" fillId="0" borderId="5" xfId="0" applyFont="1" applyBorder="1"/>
    <xf numFmtId="165" fontId="3" fillId="0" borderId="5" xfId="1" applyNumberFormat="1" applyFont="1" applyBorder="1"/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0" borderId="12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3" fillId="0" borderId="7" xfId="0" applyFont="1" applyFill="1" applyBorder="1" applyAlignment="1">
      <alignment wrapText="1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opLeftCell="F61" workbookViewId="0">
      <selection activeCell="F52" sqref="F52"/>
    </sheetView>
  </sheetViews>
  <sheetFormatPr defaultColWidth="9.140625" defaultRowHeight="15" x14ac:dyDescent="0.25"/>
  <cols>
    <col min="1" max="1" width="10.140625" style="6" bestFit="1" customWidth="1"/>
    <col min="2" max="2" width="18.28515625" style="6" hidden="1" customWidth="1"/>
    <col min="3" max="3" width="21.28515625" style="6" customWidth="1"/>
    <col min="4" max="4" width="7.85546875" style="6" hidden="1" customWidth="1"/>
    <col min="5" max="5" width="7.28515625" style="12" hidden="1" customWidth="1"/>
    <col min="6" max="6" width="11.28515625" style="12" bestFit="1" customWidth="1"/>
    <col min="7" max="7" width="10.7109375" style="12" customWidth="1"/>
    <col min="8" max="8" width="2" style="6" customWidth="1"/>
    <col min="9" max="9" width="10.140625" style="6" bestFit="1" customWidth="1"/>
    <col min="10" max="10" width="26.5703125" style="6" customWidth="1"/>
    <col min="11" max="11" width="24.85546875" style="6" customWidth="1"/>
    <col min="12" max="12" width="13.7109375" style="12" bestFit="1" customWidth="1"/>
    <col min="13" max="13" width="16.28515625" style="6" customWidth="1"/>
    <col min="14" max="16384" width="9.140625" style="6"/>
  </cols>
  <sheetData>
    <row r="1" spans="1:13" s="2" customFormat="1" ht="15.75" x14ac:dyDescent="0.25">
      <c r="A1" s="160" t="s">
        <v>20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13" s="2" customFormat="1" ht="15.75" x14ac:dyDescent="0.2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3" spans="1:13" s="2" customFormat="1" ht="15.75" x14ac:dyDescent="0.25">
      <c r="A3" s="161" t="s">
        <v>1</v>
      </c>
      <c r="B3" s="161"/>
      <c r="C3" s="161"/>
      <c r="D3" s="161"/>
      <c r="E3" s="161"/>
      <c r="F3" s="161"/>
      <c r="G3" s="1"/>
      <c r="H3" s="1"/>
      <c r="I3" s="161" t="s">
        <v>2</v>
      </c>
      <c r="J3" s="161"/>
      <c r="K3" s="161"/>
      <c r="L3" s="161"/>
    </row>
    <row r="4" spans="1:13" ht="30" x14ac:dyDescent="0.25">
      <c r="A4" s="3" t="s">
        <v>3</v>
      </c>
      <c r="B4" s="3" t="s">
        <v>4</v>
      </c>
      <c r="C4" s="3" t="s">
        <v>5</v>
      </c>
      <c r="D4" s="4" t="s">
        <v>6</v>
      </c>
      <c r="E4" s="5" t="s">
        <v>7</v>
      </c>
      <c r="F4" s="4" t="s">
        <v>8</v>
      </c>
      <c r="G4" s="5" t="s">
        <v>9</v>
      </c>
      <c r="H4" s="3"/>
      <c r="I4" s="3" t="s">
        <v>3</v>
      </c>
      <c r="J4" s="3" t="s">
        <v>10</v>
      </c>
      <c r="K4" s="3" t="s">
        <v>11</v>
      </c>
      <c r="L4" s="4" t="s">
        <v>8</v>
      </c>
      <c r="M4" s="5" t="s">
        <v>9</v>
      </c>
    </row>
    <row r="5" spans="1:13" x14ac:dyDescent="0.25">
      <c r="A5" s="7"/>
      <c r="B5" s="8" t="s">
        <v>12</v>
      </c>
      <c r="C5" s="8"/>
      <c r="D5" s="8">
        <v>200</v>
      </c>
      <c r="E5" s="9">
        <v>3870</v>
      </c>
      <c r="F5" s="9"/>
      <c r="G5" s="9"/>
      <c r="H5" s="8"/>
      <c r="I5" s="7">
        <v>46050</v>
      </c>
      <c r="J5" s="8" t="s">
        <v>22</v>
      </c>
      <c r="K5" s="8" t="s">
        <v>23</v>
      </c>
      <c r="L5" s="9">
        <v>108000</v>
      </c>
      <c r="M5" s="8">
        <v>755849365</v>
      </c>
    </row>
    <row r="6" spans="1:13" x14ac:dyDescent="0.25">
      <c r="A6" s="7">
        <v>46051</v>
      </c>
      <c r="B6" s="8"/>
      <c r="C6" s="8" t="s">
        <v>43</v>
      </c>
      <c r="D6" s="8"/>
      <c r="E6" s="9"/>
      <c r="F6" s="9">
        <f>70000+15000</f>
        <v>85000</v>
      </c>
      <c r="G6" s="9"/>
      <c r="H6" s="8"/>
      <c r="I6" s="7">
        <v>46050</v>
      </c>
      <c r="J6" s="8" t="s">
        <v>24</v>
      </c>
      <c r="K6" s="8" t="s">
        <v>48</v>
      </c>
      <c r="L6" s="9">
        <v>167000</v>
      </c>
      <c r="M6" s="8">
        <v>700742461</v>
      </c>
    </row>
    <row r="7" spans="1:13" x14ac:dyDescent="0.25">
      <c r="A7" s="7"/>
      <c r="B7" s="8"/>
      <c r="C7" s="8"/>
      <c r="D7" s="8"/>
      <c r="E7" s="9"/>
      <c r="F7" s="9"/>
      <c r="G7" s="9"/>
      <c r="H7" s="8"/>
      <c r="I7" s="7"/>
      <c r="J7" s="8"/>
      <c r="K7" s="8" t="s">
        <v>51</v>
      </c>
      <c r="L7" s="9">
        <v>150000</v>
      </c>
      <c r="M7" s="8"/>
    </row>
    <row r="8" spans="1:13" x14ac:dyDescent="0.25">
      <c r="A8" s="7"/>
      <c r="B8" s="8"/>
      <c r="C8" s="8"/>
      <c r="D8" s="8"/>
      <c r="E8" s="9"/>
      <c r="F8" s="9"/>
      <c r="G8" s="9"/>
      <c r="H8" s="8"/>
      <c r="I8" s="7"/>
      <c r="J8" s="8"/>
      <c r="K8" s="8" t="s">
        <v>90</v>
      </c>
      <c r="L8" s="9">
        <v>160000</v>
      </c>
      <c r="M8" s="8"/>
    </row>
    <row r="9" spans="1:13" x14ac:dyDescent="0.25">
      <c r="A9" s="7"/>
      <c r="B9" s="8"/>
      <c r="C9" s="8"/>
      <c r="D9" s="8"/>
      <c r="E9" s="9"/>
      <c r="F9" s="9"/>
      <c r="G9" s="9"/>
      <c r="H9" s="8"/>
      <c r="I9" s="7"/>
      <c r="J9" s="8"/>
      <c r="K9" s="8"/>
      <c r="L9" s="9"/>
      <c r="M9" s="8"/>
    </row>
    <row r="10" spans="1:13" x14ac:dyDescent="0.25">
      <c r="A10" s="7">
        <v>46051</v>
      </c>
      <c r="B10" s="8"/>
      <c r="C10" s="8" t="s">
        <v>21</v>
      </c>
      <c r="D10" s="8"/>
      <c r="E10" s="9"/>
      <c r="F10" s="9">
        <v>60000000</v>
      </c>
      <c r="G10" s="9"/>
      <c r="H10" s="8"/>
      <c r="I10" s="7">
        <v>46050</v>
      </c>
      <c r="J10" s="8" t="s">
        <v>25</v>
      </c>
      <c r="K10" s="8" t="s">
        <v>26</v>
      </c>
      <c r="L10" s="9">
        <v>76000</v>
      </c>
      <c r="M10" s="8">
        <v>754834591</v>
      </c>
    </row>
    <row r="11" spans="1:13" ht="30" x14ac:dyDescent="0.25">
      <c r="A11" s="8"/>
      <c r="B11" s="8"/>
      <c r="C11" s="8"/>
      <c r="D11" s="8"/>
      <c r="E11" s="9"/>
      <c r="F11" s="9"/>
      <c r="G11" s="9"/>
      <c r="H11" s="8"/>
      <c r="I11" s="7">
        <v>46050</v>
      </c>
      <c r="J11" s="8" t="s">
        <v>27</v>
      </c>
      <c r="K11" s="20" t="s">
        <v>28</v>
      </c>
      <c r="L11" s="9">
        <v>2300000</v>
      </c>
      <c r="M11" s="8" t="s">
        <v>29</v>
      </c>
    </row>
    <row r="12" spans="1:13" ht="30" x14ac:dyDescent="0.25">
      <c r="A12" s="8"/>
      <c r="B12" s="8"/>
      <c r="C12" s="8"/>
      <c r="D12" s="8"/>
      <c r="E12" s="9"/>
      <c r="F12" s="9"/>
      <c r="G12" s="9"/>
      <c r="H12" s="8"/>
      <c r="I12" s="7">
        <v>46051</v>
      </c>
      <c r="J12" s="8" t="s">
        <v>30</v>
      </c>
      <c r="K12" s="20" t="s">
        <v>32</v>
      </c>
      <c r="L12" s="9">
        <v>3000000</v>
      </c>
      <c r="M12" s="20" t="s">
        <v>31</v>
      </c>
    </row>
    <row r="13" spans="1:13" ht="30" x14ac:dyDescent="0.25">
      <c r="A13" s="8"/>
      <c r="B13" s="8"/>
      <c r="C13" s="8"/>
      <c r="D13" s="8"/>
      <c r="E13" s="9"/>
      <c r="F13" s="9"/>
      <c r="G13" s="9"/>
      <c r="H13" s="8"/>
      <c r="I13" s="7">
        <v>46051</v>
      </c>
      <c r="J13" s="8" t="s">
        <v>33</v>
      </c>
      <c r="K13" s="20" t="s">
        <v>34</v>
      </c>
      <c r="L13" s="9">
        <v>290000</v>
      </c>
      <c r="M13" s="8">
        <v>753998753</v>
      </c>
    </row>
    <row r="14" spans="1:13" x14ac:dyDescent="0.25">
      <c r="A14" s="8"/>
      <c r="B14" s="8"/>
      <c r="C14" s="8"/>
      <c r="D14" s="8"/>
      <c r="E14" s="9"/>
      <c r="F14" s="9"/>
      <c r="G14" s="9"/>
      <c r="H14" s="8"/>
      <c r="I14" s="7">
        <v>46051</v>
      </c>
      <c r="J14" s="8" t="s">
        <v>35</v>
      </c>
      <c r="K14" s="8" t="s">
        <v>36</v>
      </c>
      <c r="L14" s="9">
        <v>100000</v>
      </c>
      <c r="M14" s="8"/>
    </row>
    <row r="15" spans="1:13" x14ac:dyDescent="0.25">
      <c r="A15" s="8"/>
      <c r="B15" s="8"/>
      <c r="C15" s="8"/>
      <c r="D15" s="8"/>
      <c r="E15" s="9"/>
      <c r="F15" s="9"/>
      <c r="G15" s="9"/>
      <c r="H15" s="8"/>
      <c r="I15" s="8"/>
      <c r="J15" s="8"/>
      <c r="K15" s="8" t="s">
        <v>37</v>
      </c>
      <c r="L15" s="9">
        <v>20000</v>
      </c>
      <c r="M15" s="8"/>
    </row>
    <row r="16" spans="1:13" x14ac:dyDescent="0.25">
      <c r="A16" s="8"/>
      <c r="B16" s="8"/>
      <c r="C16" s="8"/>
      <c r="D16" s="8"/>
      <c r="E16" s="9"/>
      <c r="F16" s="9"/>
      <c r="G16" s="9"/>
      <c r="H16" s="8"/>
      <c r="I16" s="8"/>
      <c r="J16" s="8"/>
      <c r="K16" s="8" t="s">
        <v>38</v>
      </c>
      <c r="L16" s="9">
        <v>160000</v>
      </c>
      <c r="M16" s="8"/>
    </row>
    <row r="17" spans="1:13" x14ac:dyDescent="0.25">
      <c r="A17" s="8"/>
      <c r="B17" s="8"/>
      <c r="C17" s="8"/>
      <c r="D17" s="8"/>
      <c r="E17" s="9"/>
      <c r="F17" s="9"/>
      <c r="G17" s="9"/>
      <c r="H17" s="8"/>
      <c r="I17" s="8"/>
      <c r="J17" s="8"/>
      <c r="K17" s="8" t="s">
        <v>39</v>
      </c>
      <c r="L17" s="9">
        <v>300000</v>
      </c>
      <c r="M17" s="8"/>
    </row>
    <row r="18" spans="1:13" x14ac:dyDescent="0.25">
      <c r="A18" s="8"/>
      <c r="B18" s="8"/>
      <c r="C18" s="8"/>
      <c r="D18" s="8"/>
      <c r="E18" s="9"/>
      <c r="F18" s="9"/>
      <c r="G18" s="9"/>
      <c r="H18" s="8"/>
      <c r="I18" s="8"/>
      <c r="J18" s="8"/>
      <c r="K18" s="8" t="s">
        <v>40</v>
      </c>
      <c r="L18" s="9">
        <v>200000</v>
      </c>
      <c r="M18" s="8"/>
    </row>
    <row r="19" spans="1:13" x14ac:dyDescent="0.25">
      <c r="A19" s="8"/>
      <c r="B19" s="8"/>
      <c r="C19" s="8"/>
      <c r="D19" s="8"/>
      <c r="E19" s="9"/>
      <c r="F19" s="9"/>
      <c r="G19" s="9"/>
      <c r="H19" s="8"/>
      <c r="I19" s="8"/>
      <c r="J19" s="8"/>
      <c r="K19" s="8" t="s">
        <v>41</v>
      </c>
      <c r="L19" s="9">
        <v>10000</v>
      </c>
      <c r="M19" s="8" t="s">
        <v>42</v>
      </c>
    </row>
    <row r="20" spans="1:13" x14ac:dyDescent="0.25">
      <c r="A20" s="8"/>
      <c r="B20" s="8"/>
      <c r="C20" s="8"/>
      <c r="D20" s="8"/>
      <c r="E20" s="9"/>
      <c r="F20" s="9"/>
      <c r="G20" s="9"/>
      <c r="H20" s="8"/>
      <c r="I20" s="7">
        <v>46051</v>
      </c>
      <c r="J20" s="8" t="s">
        <v>44</v>
      </c>
      <c r="K20" s="8" t="s">
        <v>45</v>
      </c>
      <c r="L20" s="9">
        <v>100000</v>
      </c>
      <c r="M20" s="8"/>
    </row>
    <row r="21" spans="1:13" x14ac:dyDescent="0.25">
      <c r="A21" s="8"/>
      <c r="B21" s="8"/>
      <c r="C21" s="8"/>
      <c r="D21" s="8"/>
      <c r="E21" s="9"/>
      <c r="F21" s="9"/>
      <c r="G21" s="9"/>
      <c r="H21" s="8"/>
      <c r="I21" s="8"/>
      <c r="J21" s="8"/>
      <c r="K21" s="8" t="s">
        <v>46</v>
      </c>
      <c r="L21" s="9">
        <v>270000</v>
      </c>
      <c r="M21" s="8"/>
    </row>
    <row r="22" spans="1:13" x14ac:dyDescent="0.25">
      <c r="A22" s="8"/>
      <c r="B22" s="8"/>
      <c r="C22" s="8"/>
      <c r="D22" s="8"/>
      <c r="E22" s="9"/>
      <c r="F22" s="9"/>
      <c r="G22" s="9"/>
      <c r="H22" s="8"/>
      <c r="I22" s="7">
        <v>46051</v>
      </c>
      <c r="J22" s="8" t="s">
        <v>24</v>
      </c>
      <c r="K22" s="8" t="s">
        <v>47</v>
      </c>
      <c r="L22" s="9">
        <v>41000000</v>
      </c>
      <c r="M22" s="8" t="s">
        <v>29</v>
      </c>
    </row>
    <row r="23" spans="1:13" x14ac:dyDescent="0.25">
      <c r="A23" s="8"/>
      <c r="B23" s="8"/>
      <c r="C23" s="8"/>
      <c r="D23" s="8"/>
      <c r="E23" s="9"/>
      <c r="F23" s="9"/>
      <c r="G23" s="9"/>
      <c r="H23" s="8"/>
      <c r="I23" s="7">
        <v>46051</v>
      </c>
      <c r="J23" s="8" t="s">
        <v>24</v>
      </c>
      <c r="K23" s="20" t="s">
        <v>54</v>
      </c>
      <c r="L23" s="9">
        <v>1600000</v>
      </c>
      <c r="M23" s="8" t="s">
        <v>29</v>
      </c>
    </row>
    <row r="24" spans="1:13" x14ac:dyDescent="0.25">
      <c r="A24" s="8"/>
      <c r="B24" s="8"/>
      <c r="C24" s="8"/>
      <c r="D24" s="8"/>
      <c r="E24" s="9"/>
      <c r="F24" s="9"/>
      <c r="G24" s="9"/>
      <c r="H24" s="8"/>
      <c r="I24" s="8"/>
      <c r="J24" s="8"/>
      <c r="K24" s="8" t="s">
        <v>50</v>
      </c>
      <c r="L24" s="9">
        <v>52000</v>
      </c>
      <c r="M24" s="8"/>
    </row>
    <row r="25" spans="1:13" x14ac:dyDescent="0.25">
      <c r="A25" s="8"/>
      <c r="B25" s="8"/>
      <c r="C25" s="8"/>
      <c r="D25" s="8"/>
      <c r="E25" s="9"/>
      <c r="F25" s="9"/>
      <c r="G25" s="9"/>
      <c r="H25" s="8"/>
      <c r="I25" s="8"/>
      <c r="J25" s="8"/>
      <c r="K25" s="8" t="s">
        <v>55</v>
      </c>
      <c r="L25" s="9">
        <v>60000</v>
      </c>
      <c r="M25" s="8"/>
    </row>
    <row r="26" spans="1:13" ht="30" x14ac:dyDescent="0.25">
      <c r="A26" s="8"/>
      <c r="B26" s="8"/>
      <c r="C26" s="8"/>
      <c r="D26" s="8"/>
      <c r="E26" s="9"/>
      <c r="F26" s="9"/>
      <c r="G26" s="9"/>
      <c r="H26" s="8"/>
      <c r="I26" s="7">
        <v>46052</v>
      </c>
      <c r="J26" s="8" t="s">
        <v>74</v>
      </c>
      <c r="K26" s="20" t="s">
        <v>59</v>
      </c>
      <c r="L26" s="9">
        <v>132000</v>
      </c>
      <c r="M26" s="8">
        <v>771452920</v>
      </c>
    </row>
    <row r="27" spans="1:13" ht="30" x14ac:dyDescent="0.25">
      <c r="A27" s="8"/>
      <c r="B27" s="8"/>
      <c r="C27" s="8"/>
      <c r="D27" s="8"/>
      <c r="E27" s="9"/>
      <c r="F27" s="9"/>
      <c r="G27" s="9"/>
      <c r="H27" s="8"/>
      <c r="I27" s="7">
        <v>46052</v>
      </c>
      <c r="J27" s="8" t="s">
        <v>60</v>
      </c>
      <c r="K27" s="20" t="s">
        <v>61</v>
      </c>
      <c r="L27" s="9">
        <v>600000</v>
      </c>
      <c r="M27" s="8">
        <v>706926441</v>
      </c>
    </row>
    <row r="28" spans="1:13" x14ac:dyDescent="0.25">
      <c r="A28" s="8"/>
      <c r="B28" s="8"/>
      <c r="C28" s="8"/>
      <c r="D28" s="8"/>
      <c r="E28" s="9"/>
      <c r="F28" s="9"/>
      <c r="G28" s="9"/>
      <c r="H28" s="8"/>
      <c r="I28" s="7">
        <v>46052</v>
      </c>
      <c r="J28" s="8" t="s">
        <v>33</v>
      </c>
      <c r="K28" s="8" t="s">
        <v>62</v>
      </c>
      <c r="L28" s="9">
        <v>100000</v>
      </c>
      <c r="M28" s="8">
        <v>752998753</v>
      </c>
    </row>
    <row r="29" spans="1:13" x14ac:dyDescent="0.25">
      <c r="A29" s="8"/>
      <c r="B29" s="8"/>
      <c r="C29" s="8"/>
      <c r="D29" s="8"/>
      <c r="E29" s="9"/>
      <c r="F29" s="9"/>
      <c r="G29" s="9"/>
      <c r="H29" s="8"/>
      <c r="I29" s="7">
        <v>46052</v>
      </c>
      <c r="J29" s="8" t="s">
        <v>75</v>
      </c>
      <c r="K29" s="8" t="s">
        <v>63</v>
      </c>
      <c r="L29" s="9">
        <v>103000</v>
      </c>
      <c r="M29" s="8">
        <v>792505557</v>
      </c>
    </row>
    <row r="30" spans="1:13" ht="30" x14ac:dyDescent="0.25">
      <c r="A30" s="8"/>
      <c r="B30" s="8"/>
      <c r="C30" s="8"/>
      <c r="D30" s="8"/>
      <c r="E30" s="9"/>
      <c r="F30" s="9"/>
      <c r="G30" s="9"/>
      <c r="H30" s="8"/>
      <c r="I30" s="7">
        <v>46052</v>
      </c>
      <c r="J30" s="8" t="s">
        <v>64</v>
      </c>
      <c r="K30" s="20" t="s">
        <v>65</v>
      </c>
      <c r="L30" s="9">
        <v>220000</v>
      </c>
      <c r="M30" s="8">
        <v>758217905</v>
      </c>
    </row>
    <row r="31" spans="1:13" x14ac:dyDescent="0.25">
      <c r="A31" s="8"/>
      <c r="B31" s="8"/>
      <c r="C31" s="8"/>
      <c r="D31" s="8"/>
      <c r="E31" s="9"/>
      <c r="F31" s="9"/>
      <c r="G31" s="9"/>
      <c r="H31" s="8"/>
      <c r="I31" s="7">
        <v>46052</v>
      </c>
      <c r="J31" s="8" t="s">
        <v>66</v>
      </c>
      <c r="K31" s="20" t="s">
        <v>69</v>
      </c>
      <c r="L31" s="9">
        <v>300000</v>
      </c>
      <c r="M31" s="8" t="s">
        <v>29</v>
      </c>
    </row>
    <row r="32" spans="1:13" x14ac:dyDescent="0.25">
      <c r="A32" s="8"/>
      <c r="B32" s="8"/>
      <c r="C32" s="8"/>
      <c r="D32" s="8"/>
      <c r="E32" s="9"/>
      <c r="F32" s="9"/>
      <c r="G32" s="9"/>
      <c r="H32" s="8"/>
      <c r="I32" s="7">
        <v>46052</v>
      </c>
      <c r="J32" s="8" t="s">
        <v>67</v>
      </c>
      <c r="K32" s="20" t="s">
        <v>70</v>
      </c>
      <c r="L32" s="9">
        <v>580000</v>
      </c>
      <c r="M32" s="8" t="s">
        <v>29</v>
      </c>
    </row>
    <row r="33" spans="1:13" x14ac:dyDescent="0.25">
      <c r="A33" s="8"/>
      <c r="B33" s="8"/>
      <c r="C33" s="8"/>
      <c r="D33" s="8"/>
      <c r="E33" s="9"/>
      <c r="F33" s="9"/>
      <c r="G33" s="9"/>
      <c r="H33" s="8"/>
      <c r="I33" s="7">
        <v>46052</v>
      </c>
      <c r="J33" s="8" t="s">
        <v>68</v>
      </c>
      <c r="K33" s="20" t="s">
        <v>70</v>
      </c>
      <c r="L33" s="9">
        <v>580000</v>
      </c>
      <c r="M33" s="8" t="s">
        <v>29</v>
      </c>
    </row>
    <row r="34" spans="1:13" x14ac:dyDescent="0.25">
      <c r="A34" s="8"/>
      <c r="B34" s="8"/>
      <c r="C34" s="8"/>
      <c r="D34" s="8"/>
      <c r="E34" s="9"/>
      <c r="F34" s="9"/>
      <c r="G34" s="9"/>
      <c r="H34" s="8"/>
      <c r="I34" s="7">
        <v>46052</v>
      </c>
      <c r="J34" s="8" t="s">
        <v>71</v>
      </c>
      <c r="K34" s="20" t="s">
        <v>72</v>
      </c>
      <c r="L34" s="9">
        <v>500000</v>
      </c>
      <c r="M34" s="8">
        <v>759383950</v>
      </c>
    </row>
    <row r="35" spans="1:13" ht="30" x14ac:dyDescent="0.25">
      <c r="A35" s="8"/>
      <c r="B35" s="8"/>
      <c r="C35" s="8"/>
      <c r="D35" s="8"/>
      <c r="E35" s="9"/>
      <c r="F35" s="9"/>
      <c r="G35" s="9"/>
      <c r="H35" s="8"/>
      <c r="I35" s="8"/>
      <c r="J35" s="8"/>
      <c r="K35" s="20" t="s">
        <v>73</v>
      </c>
      <c r="L35" s="9">
        <f>15000+140000</f>
        <v>155000</v>
      </c>
      <c r="M35" s="8"/>
    </row>
    <row r="36" spans="1:13" x14ac:dyDescent="0.25">
      <c r="A36" s="8"/>
      <c r="B36" s="8"/>
      <c r="C36" s="8"/>
      <c r="D36" s="8"/>
      <c r="E36" s="9"/>
      <c r="F36" s="9"/>
      <c r="G36" s="9"/>
      <c r="H36" s="8"/>
      <c r="I36" s="7">
        <v>46054</v>
      </c>
      <c r="J36" s="8" t="s">
        <v>77</v>
      </c>
      <c r="K36" s="8" t="s">
        <v>76</v>
      </c>
      <c r="L36" s="9">
        <v>100000</v>
      </c>
      <c r="M36" s="8">
        <v>753113875</v>
      </c>
    </row>
    <row r="37" spans="1:13" ht="30" x14ac:dyDescent="0.25">
      <c r="A37" s="8"/>
      <c r="B37" s="8"/>
      <c r="C37" s="8"/>
      <c r="D37" s="8"/>
      <c r="E37" s="9"/>
      <c r="F37" s="9"/>
      <c r="G37" s="9"/>
      <c r="H37" s="8"/>
      <c r="I37" s="7">
        <v>46054</v>
      </c>
      <c r="J37" s="20" t="s">
        <v>79</v>
      </c>
      <c r="K37" s="8" t="s">
        <v>76</v>
      </c>
      <c r="L37" s="9">
        <v>100000</v>
      </c>
      <c r="M37" s="8">
        <v>776312022</v>
      </c>
    </row>
    <row r="38" spans="1:13" x14ac:dyDescent="0.25">
      <c r="A38" s="8"/>
      <c r="B38" s="8"/>
      <c r="C38" s="8"/>
      <c r="D38" s="8"/>
      <c r="E38" s="9"/>
      <c r="F38" s="9"/>
      <c r="G38" s="9"/>
      <c r="H38" s="8"/>
      <c r="I38" s="7">
        <v>46054</v>
      </c>
      <c r="J38" s="8" t="s">
        <v>78</v>
      </c>
      <c r="K38" s="8" t="s">
        <v>69</v>
      </c>
      <c r="L38" s="9">
        <v>200000</v>
      </c>
      <c r="M38" s="8">
        <v>765591350</v>
      </c>
    </row>
    <row r="39" spans="1:13" ht="30" x14ac:dyDescent="0.25">
      <c r="A39" s="8"/>
      <c r="B39" s="8"/>
      <c r="C39" s="8"/>
      <c r="D39" s="8"/>
      <c r="E39" s="9"/>
      <c r="F39" s="9"/>
      <c r="G39" s="9"/>
      <c r="H39" s="8"/>
      <c r="I39" s="7">
        <v>46054</v>
      </c>
      <c r="J39" s="20" t="s">
        <v>82</v>
      </c>
      <c r="K39" s="8" t="s">
        <v>69</v>
      </c>
      <c r="L39" s="9">
        <v>200000</v>
      </c>
      <c r="M39" s="8">
        <v>789860685</v>
      </c>
    </row>
    <row r="40" spans="1:13" x14ac:dyDescent="0.25">
      <c r="A40" s="8"/>
      <c r="B40" s="8"/>
      <c r="C40" s="8"/>
      <c r="D40" s="8"/>
      <c r="E40" s="9"/>
      <c r="F40" s="9"/>
      <c r="G40" s="9"/>
      <c r="H40" s="8"/>
      <c r="I40" s="7">
        <v>46054</v>
      </c>
      <c r="J40" s="8" t="s">
        <v>81</v>
      </c>
      <c r="K40" s="8" t="s">
        <v>69</v>
      </c>
      <c r="L40" s="9">
        <v>200000</v>
      </c>
      <c r="M40" s="8">
        <v>773367998</v>
      </c>
    </row>
    <row r="41" spans="1:13" x14ac:dyDescent="0.25">
      <c r="A41" s="8"/>
      <c r="B41" s="8"/>
      <c r="C41" s="8"/>
      <c r="D41" s="8"/>
      <c r="E41" s="9"/>
      <c r="F41" s="9"/>
      <c r="G41" s="9"/>
      <c r="H41" s="8"/>
      <c r="I41" s="7">
        <v>46054</v>
      </c>
      <c r="J41" s="8" t="s">
        <v>80</v>
      </c>
      <c r="K41" s="8" t="s">
        <v>69</v>
      </c>
      <c r="L41" s="9">
        <v>200000</v>
      </c>
      <c r="M41" s="8">
        <v>745921786</v>
      </c>
    </row>
    <row r="42" spans="1:13" x14ac:dyDescent="0.25">
      <c r="A42" s="8"/>
      <c r="B42" s="8"/>
      <c r="C42" s="8"/>
      <c r="D42" s="8"/>
      <c r="E42" s="9"/>
      <c r="F42" s="9"/>
      <c r="G42" s="9"/>
      <c r="H42" s="8"/>
      <c r="I42" s="7">
        <v>46055</v>
      </c>
      <c r="J42" s="8" t="s">
        <v>89</v>
      </c>
      <c r="K42" s="8" t="s">
        <v>83</v>
      </c>
      <c r="L42" s="9">
        <v>353000</v>
      </c>
      <c r="M42" s="8"/>
    </row>
    <row r="43" spans="1:13" x14ac:dyDescent="0.25">
      <c r="A43" s="8"/>
      <c r="B43" s="8"/>
      <c r="C43" s="8"/>
      <c r="D43" s="8"/>
      <c r="E43" s="9"/>
      <c r="F43" s="9"/>
      <c r="G43" s="9"/>
      <c r="H43" s="8"/>
      <c r="I43" s="7"/>
      <c r="J43" s="8"/>
      <c r="K43" s="8" t="s">
        <v>84</v>
      </c>
      <c r="L43" s="9">
        <v>40000</v>
      </c>
      <c r="M43" s="8">
        <v>747616717</v>
      </c>
    </row>
    <row r="44" spans="1:13" x14ac:dyDescent="0.25">
      <c r="A44" s="8"/>
      <c r="B44" s="8"/>
      <c r="C44" s="8"/>
      <c r="D44" s="8"/>
      <c r="E44" s="9"/>
      <c r="F44" s="9"/>
      <c r="G44" s="9"/>
      <c r="H44" s="8"/>
      <c r="I44" s="7">
        <v>46055</v>
      </c>
      <c r="J44" s="8" t="s">
        <v>80</v>
      </c>
      <c r="K44" s="8" t="s">
        <v>85</v>
      </c>
      <c r="L44" s="9">
        <v>25000</v>
      </c>
      <c r="M44" s="8">
        <v>745921786</v>
      </c>
    </row>
    <row r="45" spans="1:13" ht="30" x14ac:dyDescent="0.25">
      <c r="A45" s="8"/>
      <c r="B45" s="8"/>
      <c r="C45" s="8"/>
      <c r="D45" s="8"/>
      <c r="E45" s="9"/>
      <c r="F45" s="9"/>
      <c r="G45" s="9"/>
      <c r="H45" s="8"/>
      <c r="I45" s="7">
        <v>46055</v>
      </c>
      <c r="J45" s="20" t="s">
        <v>86</v>
      </c>
      <c r="K45" s="8" t="s">
        <v>87</v>
      </c>
      <c r="L45" s="9">
        <v>1090000</v>
      </c>
      <c r="M45" s="8">
        <v>7847430011</v>
      </c>
    </row>
    <row r="46" spans="1:13" x14ac:dyDescent="0.25">
      <c r="A46" s="8"/>
      <c r="B46" s="8"/>
      <c r="C46" s="8"/>
      <c r="D46" s="8"/>
      <c r="E46" s="9"/>
      <c r="F46" s="9"/>
      <c r="G46" s="9"/>
      <c r="H46" s="8"/>
      <c r="I46" s="7"/>
      <c r="J46" s="8"/>
      <c r="K46" s="8" t="s">
        <v>88</v>
      </c>
      <c r="L46" s="9">
        <v>4000</v>
      </c>
      <c r="M46" s="8" t="s">
        <v>29</v>
      </c>
    </row>
    <row r="47" spans="1:13" x14ac:dyDescent="0.25">
      <c r="A47" s="8"/>
      <c r="B47" s="8"/>
      <c r="C47" s="8"/>
      <c r="D47" s="8"/>
      <c r="E47" s="9"/>
      <c r="F47" s="9"/>
      <c r="G47" s="9"/>
      <c r="H47" s="8"/>
      <c r="I47" s="7">
        <v>46055</v>
      </c>
      <c r="J47" s="8" t="s">
        <v>80</v>
      </c>
      <c r="K47" s="8" t="s">
        <v>117</v>
      </c>
      <c r="L47" s="9">
        <v>60000</v>
      </c>
      <c r="M47" s="8">
        <v>745921786</v>
      </c>
    </row>
    <row r="48" spans="1:13" ht="30" x14ac:dyDescent="0.25">
      <c r="A48" s="8"/>
      <c r="B48" s="8"/>
      <c r="C48" s="8"/>
      <c r="D48" s="8"/>
      <c r="E48" s="9"/>
      <c r="F48" s="9"/>
      <c r="G48" s="9"/>
      <c r="H48" s="8"/>
      <c r="I48" s="7">
        <v>46056</v>
      </c>
      <c r="J48" s="20" t="s">
        <v>92</v>
      </c>
      <c r="K48" s="8" t="s">
        <v>91</v>
      </c>
      <c r="L48" s="9">
        <v>300000</v>
      </c>
      <c r="M48" s="8">
        <v>756771969</v>
      </c>
    </row>
    <row r="49" spans="1:13" x14ac:dyDescent="0.25">
      <c r="A49" s="8"/>
      <c r="B49" s="8"/>
      <c r="C49" s="8"/>
      <c r="D49" s="8"/>
      <c r="E49" s="9"/>
      <c r="F49" s="9"/>
      <c r="G49" s="9"/>
      <c r="H49" s="8"/>
      <c r="I49" s="7">
        <v>46056</v>
      </c>
      <c r="J49" s="20" t="s">
        <v>93</v>
      </c>
      <c r="K49" s="8" t="s">
        <v>94</v>
      </c>
      <c r="L49" s="9">
        <v>16000</v>
      </c>
      <c r="M49" s="8" t="s">
        <v>29</v>
      </c>
    </row>
    <row r="50" spans="1:13" x14ac:dyDescent="0.25">
      <c r="A50" s="8"/>
      <c r="B50" s="8"/>
      <c r="C50" s="8"/>
      <c r="D50" s="8"/>
      <c r="E50" s="9"/>
      <c r="F50" s="9"/>
      <c r="G50" s="9"/>
      <c r="H50" s="8"/>
      <c r="I50" s="7">
        <v>46056</v>
      </c>
      <c r="J50" s="20" t="s">
        <v>95</v>
      </c>
      <c r="K50" s="8" t="s">
        <v>96</v>
      </c>
      <c r="L50" s="9">
        <v>4000</v>
      </c>
      <c r="M50" s="8" t="s">
        <v>29</v>
      </c>
    </row>
    <row r="51" spans="1:13" ht="30" x14ac:dyDescent="0.25">
      <c r="A51" s="8"/>
      <c r="B51" s="8"/>
      <c r="C51" s="8"/>
      <c r="D51" s="8"/>
      <c r="E51" s="9"/>
      <c r="F51" s="9"/>
      <c r="G51" s="9"/>
      <c r="H51" s="8"/>
      <c r="I51" s="7">
        <v>46056</v>
      </c>
      <c r="J51" s="20" t="s">
        <v>97</v>
      </c>
      <c r="K51" s="20" t="s">
        <v>116</v>
      </c>
      <c r="L51" s="9">
        <v>25000</v>
      </c>
      <c r="M51" s="8">
        <v>779915273</v>
      </c>
    </row>
    <row r="52" spans="1:13" ht="45" x14ac:dyDescent="0.25">
      <c r="A52" s="8"/>
      <c r="B52" s="8"/>
      <c r="C52" s="8"/>
      <c r="D52" s="8"/>
      <c r="E52" s="9"/>
      <c r="F52" s="9"/>
      <c r="G52" s="9"/>
      <c r="H52" s="8"/>
      <c r="I52" s="7">
        <v>46056</v>
      </c>
      <c r="J52" s="20" t="s">
        <v>98</v>
      </c>
      <c r="K52" s="20" t="s">
        <v>99</v>
      </c>
      <c r="L52" s="9">
        <v>417900</v>
      </c>
      <c r="M52" s="8">
        <v>702750820</v>
      </c>
    </row>
    <row r="53" spans="1:13" x14ac:dyDescent="0.25">
      <c r="A53" s="8"/>
      <c r="B53" s="8"/>
      <c r="C53" s="8"/>
      <c r="D53" s="8"/>
      <c r="E53" s="9"/>
      <c r="F53" s="9"/>
      <c r="G53" s="9"/>
      <c r="H53" s="8"/>
      <c r="I53" s="7"/>
      <c r="J53" s="20"/>
      <c r="K53" s="8" t="s">
        <v>100</v>
      </c>
      <c r="L53" s="9">
        <v>29100</v>
      </c>
      <c r="M53" s="8"/>
    </row>
    <row r="54" spans="1:13" ht="30" x14ac:dyDescent="0.25">
      <c r="A54" s="8"/>
      <c r="B54" s="8"/>
      <c r="C54" s="8"/>
      <c r="D54" s="8"/>
      <c r="E54" s="9"/>
      <c r="F54" s="9"/>
      <c r="G54" s="9"/>
      <c r="H54" s="8"/>
      <c r="I54" s="7">
        <v>46056</v>
      </c>
      <c r="J54" s="20" t="s">
        <v>98</v>
      </c>
      <c r="K54" s="8" t="s">
        <v>101</v>
      </c>
      <c r="L54" s="9">
        <v>125000</v>
      </c>
      <c r="M54" s="8">
        <v>702750820</v>
      </c>
    </row>
    <row r="55" spans="1:13" x14ac:dyDescent="0.25">
      <c r="A55" s="8"/>
      <c r="B55" s="8"/>
      <c r="C55" s="8"/>
      <c r="D55" s="8"/>
      <c r="E55" s="9"/>
      <c r="F55" s="9"/>
      <c r="G55" s="9"/>
      <c r="H55" s="8"/>
      <c r="I55" s="7"/>
      <c r="J55" s="20"/>
      <c r="K55" s="8" t="s">
        <v>100</v>
      </c>
      <c r="L55" s="9">
        <v>8000</v>
      </c>
      <c r="M55" s="8"/>
    </row>
    <row r="56" spans="1:13" x14ac:dyDescent="0.25">
      <c r="A56" s="8"/>
      <c r="B56" s="8"/>
      <c r="C56" s="8"/>
      <c r="D56" s="8"/>
      <c r="E56" s="9"/>
      <c r="F56" s="9"/>
      <c r="G56" s="9"/>
      <c r="H56" s="8"/>
      <c r="I56" s="7">
        <v>46056</v>
      </c>
      <c r="J56" s="20" t="s">
        <v>102</v>
      </c>
      <c r="K56" s="8" t="s">
        <v>103</v>
      </c>
      <c r="L56" s="9">
        <v>102500</v>
      </c>
      <c r="M56" s="8">
        <v>772787640</v>
      </c>
    </row>
    <row r="57" spans="1:13" ht="30" x14ac:dyDescent="0.25">
      <c r="A57" s="8"/>
      <c r="B57" s="8"/>
      <c r="C57" s="8"/>
      <c r="D57" s="8"/>
      <c r="E57" s="9"/>
      <c r="F57" s="9"/>
      <c r="G57" s="9"/>
      <c r="H57" s="8"/>
      <c r="I57" s="7">
        <v>46056</v>
      </c>
      <c r="J57" s="20" t="s">
        <v>44</v>
      </c>
      <c r="K57" s="20" t="s">
        <v>104</v>
      </c>
      <c r="L57" s="9">
        <v>10000</v>
      </c>
      <c r="M57" s="8" t="s">
        <v>29</v>
      </c>
    </row>
    <row r="58" spans="1:13" ht="45" x14ac:dyDescent="0.25">
      <c r="A58" s="8"/>
      <c r="B58" s="8"/>
      <c r="C58" s="8"/>
      <c r="D58" s="8"/>
      <c r="E58" s="9"/>
      <c r="F58" s="9"/>
      <c r="G58" s="9"/>
      <c r="H58" s="8"/>
      <c r="I58" s="7">
        <v>46057</v>
      </c>
      <c r="J58" s="20" t="s">
        <v>114</v>
      </c>
      <c r="K58" s="20" t="s">
        <v>115</v>
      </c>
      <c r="L58" s="9">
        <v>461000</v>
      </c>
      <c r="M58" s="8">
        <v>752980465</v>
      </c>
    </row>
    <row r="59" spans="1:13" ht="45" x14ac:dyDescent="0.25">
      <c r="A59" s="8"/>
      <c r="B59" s="8"/>
      <c r="C59" s="8"/>
      <c r="D59" s="8"/>
      <c r="E59" s="9"/>
      <c r="F59" s="9"/>
      <c r="G59" s="9"/>
      <c r="H59" s="8"/>
      <c r="I59" s="7">
        <v>46057</v>
      </c>
      <c r="J59" s="20" t="s">
        <v>77</v>
      </c>
      <c r="K59" s="20" t="s">
        <v>105</v>
      </c>
      <c r="L59" s="9">
        <v>40000</v>
      </c>
      <c r="M59" s="8">
        <v>753113875</v>
      </c>
    </row>
    <row r="60" spans="1:13" x14ac:dyDescent="0.25">
      <c r="A60" s="8"/>
      <c r="B60" s="8"/>
      <c r="C60" s="8"/>
      <c r="D60" s="8"/>
      <c r="E60" s="9"/>
      <c r="F60" s="9"/>
      <c r="G60" s="9"/>
      <c r="H60" s="8"/>
      <c r="I60" s="7">
        <v>46057</v>
      </c>
      <c r="J60" s="20" t="s">
        <v>24</v>
      </c>
      <c r="K60" s="20" t="s">
        <v>106</v>
      </c>
      <c r="L60" s="9">
        <v>250000</v>
      </c>
      <c r="M60" s="8">
        <v>700742461</v>
      </c>
    </row>
    <row r="61" spans="1:13" ht="30" x14ac:dyDescent="0.25">
      <c r="A61" s="8"/>
      <c r="B61" s="8"/>
      <c r="C61" s="8"/>
      <c r="D61" s="8"/>
      <c r="E61" s="9"/>
      <c r="F61" s="9"/>
      <c r="G61" s="9"/>
      <c r="H61" s="8"/>
      <c r="I61" s="7">
        <v>46057</v>
      </c>
      <c r="J61" s="20" t="s">
        <v>107</v>
      </c>
      <c r="K61" s="20" t="s">
        <v>108</v>
      </c>
      <c r="L61" s="9">
        <v>460000</v>
      </c>
      <c r="M61" s="8">
        <v>704107464</v>
      </c>
    </row>
    <row r="62" spans="1:13" ht="45" x14ac:dyDescent="0.25">
      <c r="A62" s="8"/>
      <c r="B62" s="8"/>
      <c r="C62" s="8"/>
      <c r="D62" s="8"/>
      <c r="E62" s="9"/>
      <c r="F62" s="9"/>
      <c r="G62" s="9"/>
      <c r="H62" s="8"/>
      <c r="I62" s="7">
        <v>46057</v>
      </c>
      <c r="J62" s="20" t="s">
        <v>109</v>
      </c>
      <c r="K62" s="20" t="s">
        <v>110</v>
      </c>
      <c r="L62" s="9">
        <v>310000</v>
      </c>
      <c r="M62" s="8">
        <v>759745868</v>
      </c>
    </row>
    <row r="63" spans="1:13" x14ac:dyDescent="0.25">
      <c r="A63" s="8"/>
      <c r="B63" s="8"/>
      <c r="C63" s="8"/>
      <c r="D63" s="8"/>
      <c r="E63" s="9"/>
      <c r="F63" s="9"/>
      <c r="G63" s="9"/>
      <c r="H63" s="8"/>
      <c r="I63" s="7"/>
      <c r="J63" s="20"/>
      <c r="K63" s="20" t="s">
        <v>111</v>
      </c>
      <c r="L63" s="24">
        <v>50000</v>
      </c>
      <c r="M63" s="8"/>
    </row>
    <row r="64" spans="1:13" ht="30" x14ac:dyDescent="0.25">
      <c r="A64" s="8"/>
      <c r="B64" s="8"/>
      <c r="C64" s="8"/>
      <c r="D64" s="8"/>
      <c r="E64" s="9"/>
      <c r="F64" s="9"/>
      <c r="G64" s="9"/>
      <c r="H64" s="8"/>
      <c r="I64" s="7">
        <v>46057</v>
      </c>
      <c r="J64" s="20" t="s">
        <v>112</v>
      </c>
      <c r="K64" s="20" t="s">
        <v>113</v>
      </c>
      <c r="L64" s="9">
        <v>140000</v>
      </c>
      <c r="M64" s="8">
        <v>768091680</v>
      </c>
    </row>
    <row r="65" spans="1:13" ht="30" x14ac:dyDescent="0.25">
      <c r="A65" s="8"/>
      <c r="B65" s="8"/>
      <c r="C65" s="8"/>
      <c r="D65" s="8"/>
      <c r="E65" s="9"/>
      <c r="F65" s="9"/>
      <c r="G65" s="9"/>
      <c r="H65" s="8"/>
      <c r="I65" s="7">
        <v>46057</v>
      </c>
      <c r="J65" s="20" t="s">
        <v>118</v>
      </c>
      <c r="K65" s="20" t="s">
        <v>119</v>
      </c>
      <c r="L65" s="9">
        <v>410000</v>
      </c>
      <c r="M65" s="8">
        <v>755849365</v>
      </c>
    </row>
    <row r="66" spans="1:13" x14ac:dyDescent="0.25">
      <c r="A66" s="8"/>
      <c r="B66" s="8"/>
      <c r="C66" s="8"/>
      <c r="D66" s="8"/>
      <c r="E66" s="9"/>
      <c r="F66" s="9"/>
      <c r="G66" s="9"/>
      <c r="H66" s="8"/>
      <c r="I66" s="7">
        <v>46057</v>
      </c>
      <c r="J66" s="20" t="s">
        <v>120</v>
      </c>
      <c r="K66" s="20" t="s">
        <v>121</v>
      </c>
      <c r="L66" s="9">
        <v>16000</v>
      </c>
      <c r="M66" s="8">
        <v>702554374</v>
      </c>
    </row>
    <row r="67" spans="1:13" x14ac:dyDescent="0.25">
      <c r="A67" s="8"/>
      <c r="B67" s="8"/>
      <c r="C67" s="8"/>
      <c r="D67" s="8"/>
      <c r="E67" s="9"/>
      <c r="F67" s="9"/>
      <c r="G67" s="9"/>
      <c r="H67" s="8"/>
      <c r="I67" s="7"/>
      <c r="J67" s="20"/>
      <c r="K67" s="20"/>
      <c r="L67" s="9"/>
      <c r="M67" s="8"/>
    </row>
    <row r="68" spans="1:13" x14ac:dyDescent="0.25">
      <c r="A68" s="8"/>
      <c r="B68" s="8"/>
      <c r="C68" s="8"/>
      <c r="D68" s="8"/>
      <c r="E68" s="9"/>
      <c r="F68" s="9"/>
      <c r="G68" s="9"/>
      <c r="H68" s="8"/>
      <c r="I68" s="7"/>
      <c r="J68" s="8"/>
      <c r="K68" s="8"/>
      <c r="L68" s="9"/>
      <c r="M68" s="8"/>
    </row>
    <row r="69" spans="1:13" x14ac:dyDescent="0.25">
      <c r="A69" s="3"/>
      <c r="B69" s="3" t="s">
        <v>14</v>
      </c>
      <c r="C69" s="3"/>
      <c r="D69" s="10">
        <f>SUM(D5:D35)</f>
        <v>200</v>
      </c>
      <c r="E69" s="10"/>
      <c r="F69" s="10">
        <f>SUM(F5:F35)</f>
        <v>60085000</v>
      </c>
      <c r="G69" s="10"/>
      <c r="H69" s="10"/>
      <c r="I69" s="10"/>
      <c r="J69" s="3" t="s">
        <v>14</v>
      </c>
      <c r="K69" s="10"/>
      <c r="L69" s="10">
        <f>SUM(L5:L68)</f>
        <v>59139500</v>
      </c>
      <c r="M69" s="3"/>
    </row>
    <row r="71" spans="1:13" x14ac:dyDescent="0.25">
      <c r="E71" s="11"/>
      <c r="F71" s="12" t="s">
        <v>13</v>
      </c>
    </row>
    <row r="72" spans="1:13" x14ac:dyDescent="0.25">
      <c r="B72" s="8" t="s">
        <v>15</v>
      </c>
      <c r="C72" s="8" t="s">
        <v>16</v>
      </c>
      <c r="D72" s="8"/>
      <c r="E72" s="13"/>
      <c r="F72" s="9">
        <f>F69</f>
        <v>60085000</v>
      </c>
    </row>
    <row r="73" spans="1:13" ht="15.75" thickBot="1" x14ac:dyDescent="0.3">
      <c r="B73" s="14"/>
      <c r="C73" s="14" t="s">
        <v>17</v>
      </c>
      <c r="D73" s="14"/>
      <c r="E73" s="15"/>
      <c r="F73" s="15">
        <f>L69</f>
        <v>59139500</v>
      </c>
    </row>
    <row r="74" spans="1:13" ht="15.75" thickBot="1" x14ac:dyDescent="0.3">
      <c r="B74" s="16" t="s">
        <v>18</v>
      </c>
      <c r="C74" s="17" t="s">
        <v>19</v>
      </c>
      <c r="D74" s="17"/>
      <c r="E74" s="18"/>
      <c r="F74" s="19">
        <f>F72-F73</f>
        <v>945500</v>
      </c>
    </row>
    <row r="75" spans="1:13" x14ac:dyDescent="0.25">
      <c r="I75" s="22" t="s">
        <v>56</v>
      </c>
      <c r="J75" s="6">
        <f>400000+60000+500000+260000+240000+160000+9000000+150000+280000+52000+1600000+200000+545000+167000+60000</f>
        <v>13674000</v>
      </c>
    </row>
    <row r="76" spans="1:13" x14ac:dyDescent="0.25">
      <c r="I76" s="21" t="s">
        <v>57</v>
      </c>
      <c r="J76" s="6">
        <v>12000000</v>
      </c>
    </row>
    <row r="77" spans="1:13" x14ac:dyDescent="0.25">
      <c r="I77" s="21" t="s">
        <v>58</v>
      </c>
      <c r="J77" s="6">
        <f>J75-J76</f>
        <v>1674000</v>
      </c>
    </row>
    <row r="81" spans="10:12" x14ac:dyDescent="0.25">
      <c r="J81" s="6" t="s">
        <v>48</v>
      </c>
      <c r="K81" s="6">
        <v>167000</v>
      </c>
    </row>
    <row r="82" spans="10:12" x14ac:dyDescent="0.25">
      <c r="J82" s="6" t="s">
        <v>49</v>
      </c>
      <c r="K82" s="6">
        <v>1600000</v>
      </c>
    </row>
    <row r="83" spans="10:12" x14ac:dyDescent="0.25">
      <c r="J83" s="6" t="s">
        <v>50</v>
      </c>
      <c r="K83" s="6">
        <v>52000</v>
      </c>
    </row>
    <row r="84" spans="10:12" x14ac:dyDescent="0.25">
      <c r="J84" s="6" t="s">
        <v>51</v>
      </c>
      <c r="K84" s="6">
        <v>150000</v>
      </c>
    </row>
    <row r="85" spans="10:12" x14ac:dyDescent="0.25">
      <c r="J85" s="6" t="s">
        <v>52</v>
      </c>
      <c r="K85" s="6">
        <v>160000</v>
      </c>
    </row>
    <row r="86" spans="10:12" x14ac:dyDescent="0.25">
      <c r="J86" s="6" t="s">
        <v>53</v>
      </c>
      <c r="K86" s="6">
        <v>60000</v>
      </c>
    </row>
    <row r="87" spans="10:12" x14ac:dyDescent="0.25">
      <c r="K87" s="6">
        <f>SUM(K81:K86)</f>
        <v>2189000</v>
      </c>
      <c r="L87" s="12">
        <f>K87-15000</f>
        <v>2174000</v>
      </c>
    </row>
  </sheetData>
  <mergeCells count="4">
    <mergeCell ref="A1:L1"/>
    <mergeCell ref="A2:L2"/>
    <mergeCell ref="A3:F3"/>
    <mergeCell ref="I3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H16" zoomScale="110" zoomScaleNormal="110" workbookViewId="0">
      <selection activeCell="H30" sqref="A30:XFD30"/>
    </sheetView>
  </sheetViews>
  <sheetFormatPr defaultRowHeight="15" x14ac:dyDescent="0.25"/>
  <cols>
    <col min="1" max="1" width="10.140625" bestFit="1" customWidth="1"/>
    <col min="2" max="2" width="15.140625" bestFit="1" customWidth="1"/>
    <col min="3" max="3" width="20.28515625" bestFit="1" customWidth="1"/>
    <col min="4" max="4" width="7.7109375" bestFit="1" customWidth="1"/>
    <col min="6" max="6" width="10.28515625" bestFit="1" customWidth="1"/>
    <col min="8" max="8" width="0.7109375" customWidth="1"/>
    <col min="9" max="9" width="13.28515625" customWidth="1"/>
    <col min="10" max="10" width="20.140625" customWidth="1"/>
    <col min="11" max="11" width="32.28515625" bestFit="1" customWidth="1"/>
    <col min="12" max="12" width="11.28515625" bestFit="1" customWidth="1"/>
    <col min="13" max="13" width="16.28515625" bestFit="1" customWidth="1"/>
  </cols>
  <sheetData>
    <row r="1" spans="1:13" ht="15.75" x14ac:dyDescent="0.25">
      <c r="A1" s="160" t="s">
        <v>20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2"/>
    </row>
    <row r="2" spans="1:13" ht="15.75" x14ac:dyDescent="0.2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2"/>
    </row>
    <row r="3" spans="1:13" ht="15.75" x14ac:dyDescent="0.25">
      <c r="A3" s="161" t="s">
        <v>1</v>
      </c>
      <c r="B3" s="161"/>
      <c r="C3" s="161"/>
      <c r="D3" s="161"/>
      <c r="E3" s="161"/>
      <c r="F3" s="161"/>
      <c r="G3" s="23"/>
      <c r="H3" s="23"/>
      <c r="I3" s="161" t="s">
        <v>2</v>
      </c>
      <c r="J3" s="161"/>
      <c r="K3" s="161"/>
      <c r="L3" s="161"/>
      <c r="M3" s="2"/>
    </row>
    <row r="4" spans="1:13" ht="30" x14ac:dyDescent="0.25">
      <c r="A4" s="3" t="s">
        <v>3</v>
      </c>
      <c r="B4" s="3" t="s">
        <v>4</v>
      </c>
      <c r="C4" s="3" t="s">
        <v>5</v>
      </c>
      <c r="D4" s="4" t="s">
        <v>6</v>
      </c>
      <c r="E4" s="5" t="s">
        <v>7</v>
      </c>
      <c r="F4" s="4" t="s">
        <v>8</v>
      </c>
      <c r="G4" s="5" t="s">
        <v>9</v>
      </c>
      <c r="H4" s="3"/>
      <c r="I4" s="3" t="s">
        <v>3</v>
      </c>
      <c r="J4" s="3" t="s">
        <v>10</v>
      </c>
      <c r="K4" s="3" t="s">
        <v>11</v>
      </c>
      <c r="L4" s="4" t="s">
        <v>8</v>
      </c>
      <c r="M4" s="5" t="s">
        <v>9</v>
      </c>
    </row>
    <row r="5" spans="1:13" ht="45" x14ac:dyDescent="0.25">
      <c r="A5" s="7">
        <v>46058</v>
      </c>
      <c r="B5" s="8" t="s">
        <v>122</v>
      </c>
      <c r="C5" s="8" t="s">
        <v>123</v>
      </c>
      <c r="D5" s="8"/>
      <c r="E5" s="9"/>
      <c r="F5" s="9">
        <v>8000000</v>
      </c>
      <c r="G5" s="9" t="s">
        <v>13</v>
      </c>
      <c r="H5" s="8"/>
      <c r="I5" s="7">
        <v>46058</v>
      </c>
      <c r="J5" s="20" t="s">
        <v>126</v>
      </c>
      <c r="K5" s="20" t="s">
        <v>127</v>
      </c>
      <c r="L5" s="9">
        <v>72000</v>
      </c>
      <c r="M5" s="8">
        <v>779915273</v>
      </c>
    </row>
    <row r="6" spans="1:13" ht="45" x14ac:dyDescent="0.25">
      <c r="A6" s="7">
        <v>46058</v>
      </c>
      <c r="B6" t="s">
        <v>124</v>
      </c>
      <c r="C6" t="s">
        <v>125</v>
      </c>
      <c r="D6" s="8"/>
      <c r="E6" s="9"/>
      <c r="F6" s="9">
        <v>945500</v>
      </c>
      <c r="G6" s="9" t="s">
        <v>13</v>
      </c>
      <c r="H6" s="8"/>
      <c r="I6" s="7">
        <v>46058</v>
      </c>
      <c r="J6" s="20" t="s">
        <v>128</v>
      </c>
      <c r="K6" s="20" t="s">
        <v>129</v>
      </c>
      <c r="L6" s="9">
        <v>2200000</v>
      </c>
      <c r="M6" s="8">
        <v>7022750820</v>
      </c>
    </row>
    <row r="7" spans="1:13" x14ac:dyDescent="0.25">
      <c r="A7" s="7"/>
      <c r="B7" s="8"/>
      <c r="C7" s="8"/>
      <c r="D7" s="8"/>
      <c r="E7" s="9"/>
      <c r="F7" s="9"/>
      <c r="G7" s="9"/>
      <c r="H7" s="8"/>
      <c r="I7" s="7"/>
      <c r="K7" s="8" t="s">
        <v>130</v>
      </c>
      <c r="L7" s="9">
        <v>75000</v>
      </c>
      <c r="M7" s="8"/>
    </row>
    <row r="8" spans="1:13" x14ac:dyDescent="0.25">
      <c r="A8" s="7"/>
      <c r="B8" s="8"/>
      <c r="C8" s="8"/>
      <c r="D8" s="8"/>
      <c r="E8" s="9"/>
      <c r="F8" s="9"/>
      <c r="G8" s="9"/>
      <c r="H8" s="8"/>
      <c r="I8" s="7">
        <v>46062</v>
      </c>
      <c r="J8" t="s">
        <v>134</v>
      </c>
      <c r="K8" t="s">
        <v>142</v>
      </c>
      <c r="L8" s="29">
        <v>68000</v>
      </c>
      <c r="M8" s="8" t="s">
        <v>135</v>
      </c>
    </row>
    <row r="9" spans="1:13" x14ac:dyDescent="0.25">
      <c r="A9" s="7"/>
      <c r="B9" s="8"/>
      <c r="C9" s="8"/>
      <c r="D9" s="8"/>
      <c r="E9" s="9"/>
      <c r="F9" s="9"/>
      <c r="G9" s="9"/>
      <c r="H9" s="8"/>
      <c r="I9" s="7">
        <v>46062</v>
      </c>
      <c r="J9" s="8" t="s">
        <v>136</v>
      </c>
      <c r="K9" s="8" t="s">
        <v>137</v>
      </c>
      <c r="L9" s="9">
        <v>720000</v>
      </c>
      <c r="M9" s="8">
        <v>779179549</v>
      </c>
    </row>
    <row r="10" spans="1:13" x14ac:dyDescent="0.25">
      <c r="A10" s="7"/>
      <c r="B10" s="8"/>
      <c r="C10" s="8"/>
      <c r="D10" s="8"/>
      <c r="E10" s="9"/>
      <c r="F10" s="9"/>
      <c r="G10" s="9"/>
      <c r="H10" s="8"/>
      <c r="I10" s="7">
        <v>46062</v>
      </c>
      <c r="J10" s="8" t="s">
        <v>138</v>
      </c>
      <c r="K10" s="8" t="s">
        <v>139</v>
      </c>
      <c r="L10" s="9">
        <v>100000</v>
      </c>
      <c r="M10" s="8">
        <v>706926441</v>
      </c>
    </row>
    <row r="11" spans="1:13" ht="60" x14ac:dyDescent="0.25">
      <c r="A11" s="8"/>
      <c r="B11" s="8"/>
      <c r="C11" s="8"/>
      <c r="D11" s="8"/>
      <c r="E11" s="9"/>
      <c r="F11" s="9"/>
      <c r="G11" s="9"/>
      <c r="H11" s="8"/>
      <c r="I11" s="7">
        <v>46062</v>
      </c>
      <c r="J11" s="8" t="s">
        <v>140</v>
      </c>
      <c r="K11" s="20" t="s">
        <v>141</v>
      </c>
      <c r="L11" s="9">
        <v>8000</v>
      </c>
      <c r="M11" s="8" t="s">
        <v>13</v>
      </c>
    </row>
    <row r="12" spans="1:13" x14ac:dyDescent="0.25">
      <c r="A12" s="8"/>
      <c r="B12" s="8"/>
      <c r="C12" s="8"/>
      <c r="D12" s="8"/>
      <c r="E12" s="9"/>
      <c r="F12" s="9"/>
      <c r="G12" s="9"/>
      <c r="H12" s="8"/>
      <c r="I12" s="7">
        <v>46063</v>
      </c>
      <c r="J12" s="8" t="s">
        <v>143</v>
      </c>
      <c r="K12" s="20" t="s">
        <v>144</v>
      </c>
      <c r="L12" s="9">
        <v>1900000</v>
      </c>
      <c r="M12" s="20"/>
    </row>
    <row r="13" spans="1:13" x14ac:dyDescent="0.25">
      <c r="A13" s="8"/>
      <c r="B13" s="8"/>
      <c r="C13" s="8"/>
      <c r="D13" s="8"/>
      <c r="E13" s="9"/>
      <c r="F13" s="9"/>
      <c r="G13" s="9"/>
      <c r="H13" s="8"/>
      <c r="I13" s="7"/>
      <c r="J13" s="8"/>
      <c r="K13" s="20" t="s">
        <v>145</v>
      </c>
      <c r="L13" s="9">
        <v>750000</v>
      </c>
      <c r="M13" s="8">
        <v>755262085</v>
      </c>
    </row>
    <row r="14" spans="1:13" ht="30" x14ac:dyDescent="0.25">
      <c r="A14" s="8"/>
      <c r="B14" s="8"/>
      <c r="C14" s="8"/>
      <c r="D14" s="8"/>
      <c r="E14" s="9"/>
      <c r="F14" s="9"/>
      <c r="G14" s="9"/>
      <c r="H14" s="8"/>
      <c r="I14" s="7">
        <v>46064</v>
      </c>
      <c r="J14" s="8" t="s">
        <v>146</v>
      </c>
      <c r="K14" s="20" t="s">
        <v>147</v>
      </c>
      <c r="L14" s="9">
        <v>200000</v>
      </c>
      <c r="M14" s="8">
        <v>700742461</v>
      </c>
    </row>
    <row r="15" spans="1:13" x14ac:dyDescent="0.25">
      <c r="A15" s="8"/>
      <c r="B15" s="8"/>
      <c r="C15" s="8"/>
      <c r="D15" s="8"/>
      <c r="E15" s="9"/>
      <c r="F15" s="9"/>
      <c r="G15" s="9"/>
      <c r="H15" s="8"/>
      <c r="I15" s="7">
        <v>46064</v>
      </c>
      <c r="J15" s="8" t="s">
        <v>148</v>
      </c>
      <c r="K15" s="8" t="s">
        <v>149</v>
      </c>
      <c r="L15" s="9">
        <v>400000</v>
      </c>
      <c r="M15" s="8">
        <v>755333091</v>
      </c>
    </row>
    <row r="16" spans="1:13" ht="30" x14ac:dyDescent="0.25">
      <c r="A16" s="8"/>
      <c r="B16" s="8"/>
      <c r="C16" s="8"/>
      <c r="D16" s="8"/>
      <c r="E16" s="9"/>
      <c r="F16" s="9"/>
      <c r="G16" s="9"/>
      <c r="H16" s="8"/>
      <c r="I16" s="7">
        <v>46065</v>
      </c>
      <c r="J16" s="8" t="s">
        <v>138</v>
      </c>
      <c r="K16" s="20" t="s">
        <v>150</v>
      </c>
      <c r="L16" s="9">
        <v>224000</v>
      </c>
      <c r="M16" s="8">
        <v>706926441</v>
      </c>
    </row>
    <row r="17" spans="1:13" x14ac:dyDescent="0.25">
      <c r="A17" s="8"/>
      <c r="B17" s="8"/>
      <c r="C17" s="8"/>
      <c r="D17" s="8"/>
      <c r="E17" s="9"/>
      <c r="F17" s="9"/>
      <c r="G17" s="9"/>
      <c r="H17" s="8"/>
      <c r="I17" s="7">
        <v>46065</v>
      </c>
      <c r="J17" s="8" t="s">
        <v>138</v>
      </c>
      <c r="K17" s="8" t="s">
        <v>151</v>
      </c>
      <c r="L17" s="9">
        <v>100000</v>
      </c>
      <c r="M17" s="8">
        <v>706926441</v>
      </c>
    </row>
    <row r="18" spans="1:13" ht="45" x14ac:dyDescent="0.25">
      <c r="A18" s="8"/>
      <c r="B18" s="8"/>
      <c r="C18" s="8"/>
      <c r="D18" s="8"/>
      <c r="E18" s="9"/>
      <c r="F18" s="9"/>
      <c r="G18" s="9"/>
      <c r="H18" s="8"/>
      <c r="I18" s="7">
        <v>46066</v>
      </c>
      <c r="J18" s="8" t="s">
        <v>140</v>
      </c>
      <c r="K18" s="20" t="s">
        <v>153</v>
      </c>
      <c r="L18" s="9">
        <v>4000</v>
      </c>
      <c r="M18" s="8" t="s">
        <v>13</v>
      </c>
    </row>
    <row r="19" spans="1:13" x14ac:dyDescent="0.25">
      <c r="A19" s="8"/>
      <c r="B19" s="8"/>
      <c r="C19" s="8"/>
      <c r="D19" s="8"/>
      <c r="E19" s="9"/>
      <c r="F19" s="9"/>
      <c r="G19" s="9"/>
      <c r="H19" s="8"/>
      <c r="I19" s="7">
        <v>46066</v>
      </c>
      <c r="J19" s="8" t="s">
        <v>140</v>
      </c>
      <c r="K19" s="8" t="s">
        <v>152</v>
      </c>
      <c r="L19" s="9">
        <v>10000</v>
      </c>
      <c r="M19" s="8" t="s">
        <v>13</v>
      </c>
    </row>
    <row r="20" spans="1:13" x14ac:dyDescent="0.25">
      <c r="A20" s="8"/>
      <c r="B20" s="8"/>
      <c r="C20" s="8"/>
      <c r="D20" s="8"/>
      <c r="E20" s="9"/>
      <c r="F20" s="9"/>
      <c r="G20" s="9"/>
      <c r="H20" s="8"/>
      <c r="I20" s="8"/>
      <c r="J20" s="8"/>
      <c r="K20" s="8" t="s">
        <v>154</v>
      </c>
      <c r="L20" s="9">
        <v>1000</v>
      </c>
      <c r="M20" s="8" t="s">
        <v>13</v>
      </c>
    </row>
    <row r="21" spans="1:13" ht="30" x14ac:dyDescent="0.25">
      <c r="A21" s="8"/>
      <c r="B21" s="8"/>
      <c r="C21" s="8"/>
      <c r="D21" s="8"/>
      <c r="E21" s="9"/>
      <c r="F21" s="9"/>
      <c r="G21" s="9"/>
      <c r="H21" s="8"/>
      <c r="I21" s="7">
        <v>46066</v>
      </c>
      <c r="J21" s="8" t="s">
        <v>146</v>
      </c>
      <c r="K21" s="20" t="s">
        <v>179</v>
      </c>
      <c r="L21" s="9">
        <v>160000</v>
      </c>
      <c r="M21" s="8"/>
    </row>
    <row r="22" spans="1:13" ht="30" x14ac:dyDescent="0.25">
      <c r="A22" s="8"/>
      <c r="B22" s="8"/>
      <c r="C22" s="8"/>
      <c r="D22" s="8"/>
      <c r="E22" s="9"/>
      <c r="F22" s="9"/>
      <c r="G22" s="9"/>
      <c r="H22" s="8"/>
      <c r="I22" s="8"/>
      <c r="J22" s="8"/>
      <c r="K22" s="20" t="s">
        <v>155</v>
      </c>
      <c r="L22" s="9">
        <v>40000</v>
      </c>
      <c r="M22" s="8">
        <v>700742461</v>
      </c>
    </row>
    <row r="23" spans="1:13" x14ac:dyDescent="0.25">
      <c r="A23" s="8"/>
      <c r="B23" s="8"/>
      <c r="C23" s="8"/>
      <c r="D23" s="8"/>
      <c r="E23" s="9"/>
      <c r="F23" s="9"/>
      <c r="G23" s="9"/>
      <c r="H23" s="8"/>
      <c r="I23" s="7">
        <v>46067</v>
      </c>
      <c r="J23" s="8" t="s">
        <v>161</v>
      </c>
      <c r="K23" s="8" t="s">
        <v>156</v>
      </c>
      <c r="L23" s="9">
        <v>185000</v>
      </c>
      <c r="M23" s="8">
        <v>750425656</v>
      </c>
    </row>
    <row r="24" spans="1:13" x14ac:dyDescent="0.25">
      <c r="A24" s="8"/>
      <c r="B24" s="8"/>
      <c r="C24" s="8"/>
      <c r="D24" s="8"/>
      <c r="E24" s="9"/>
      <c r="F24" s="9"/>
      <c r="G24" s="9"/>
      <c r="H24" s="8"/>
      <c r="I24" s="7">
        <v>46067</v>
      </c>
      <c r="J24" s="8" t="s">
        <v>157</v>
      </c>
      <c r="K24" s="20" t="s">
        <v>158</v>
      </c>
      <c r="L24" s="9">
        <v>100000</v>
      </c>
      <c r="M24" s="8">
        <v>779915273</v>
      </c>
    </row>
    <row r="25" spans="1:13" x14ac:dyDescent="0.25">
      <c r="A25" s="8"/>
      <c r="B25" s="8"/>
      <c r="C25" s="8"/>
      <c r="D25" s="8"/>
      <c r="E25" s="9"/>
      <c r="F25" s="9"/>
      <c r="G25" s="9"/>
      <c r="H25" s="8"/>
      <c r="I25" s="7">
        <v>46067</v>
      </c>
      <c r="J25" s="8" t="s">
        <v>159</v>
      </c>
      <c r="K25" s="8" t="s">
        <v>180</v>
      </c>
      <c r="L25" s="9">
        <v>155000</v>
      </c>
      <c r="M25" s="8">
        <v>745921786</v>
      </c>
    </row>
    <row r="26" spans="1:13" x14ac:dyDescent="0.25">
      <c r="A26" s="8"/>
      <c r="B26" s="8"/>
      <c r="C26" s="8"/>
      <c r="D26" s="8"/>
      <c r="E26" s="9"/>
      <c r="F26" s="9"/>
      <c r="G26" s="9"/>
      <c r="H26" s="8"/>
      <c r="I26" s="7">
        <v>46068</v>
      </c>
      <c r="J26" s="8" t="s">
        <v>140</v>
      </c>
      <c r="K26" s="8" t="s">
        <v>160</v>
      </c>
      <c r="L26" s="9">
        <v>30000</v>
      </c>
      <c r="M26" s="8" t="s">
        <v>13</v>
      </c>
    </row>
    <row r="27" spans="1:13" ht="30" x14ac:dyDescent="0.25">
      <c r="A27" s="8"/>
      <c r="B27" s="8"/>
      <c r="C27" s="8"/>
      <c r="D27" s="8"/>
      <c r="E27" s="9"/>
      <c r="F27" s="9"/>
      <c r="G27" s="9"/>
      <c r="H27" s="8"/>
      <c r="I27" s="7">
        <v>46070</v>
      </c>
      <c r="J27" s="8" t="s">
        <v>163</v>
      </c>
      <c r="K27" s="20" t="s">
        <v>162</v>
      </c>
      <c r="L27" s="9">
        <v>250000</v>
      </c>
      <c r="M27" s="8">
        <v>705299636</v>
      </c>
    </row>
    <row r="28" spans="1:13" ht="30" x14ac:dyDescent="0.25">
      <c r="A28" s="8"/>
      <c r="B28" s="8"/>
      <c r="C28" s="8"/>
      <c r="D28" s="8"/>
      <c r="E28" s="9"/>
      <c r="F28" s="9"/>
      <c r="G28" s="9"/>
      <c r="H28" s="8"/>
      <c r="I28" s="7">
        <v>46070</v>
      </c>
      <c r="J28" s="8" t="s">
        <v>164</v>
      </c>
      <c r="K28" s="20" t="s">
        <v>165</v>
      </c>
      <c r="L28" s="9">
        <v>195000</v>
      </c>
      <c r="M28" s="8">
        <v>754834591</v>
      </c>
    </row>
    <row r="29" spans="1:13" ht="30" x14ac:dyDescent="0.25">
      <c r="A29" s="8"/>
      <c r="B29" s="8"/>
      <c r="C29" s="8"/>
      <c r="D29" s="8"/>
      <c r="E29" s="9"/>
      <c r="F29" s="9"/>
      <c r="G29" s="9"/>
      <c r="H29" s="8"/>
      <c r="I29" s="7">
        <v>46070</v>
      </c>
      <c r="J29" s="20" t="s">
        <v>159</v>
      </c>
      <c r="K29" s="20" t="s">
        <v>166</v>
      </c>
      <c r="L29" s="9">
        <v>55000</v>
      </c>
      <c r="M29" s="8">
        <v>745921786</v>
      </c>
    </row>
    <row r="30" spans="1:13" ht="30" x14ac:dyDescent="0.25">
      <c r="A30" s="8"/>
      <c r="B30" s="8"/>
      <c r="C30" s="8"/>
      <c r="D30" s="8"/>
      <c r="E30" s="9"/>
      <c r="F30" s="9"/>
      <c r="G30" s="9"/>
      <c r="H30" s="8"/>
      <c r="I30" s="7">
        <v>46072</v>
      </c>
      <c r="J30" s="20" t="s">
        <v>167</v>
      </c>
      <c r="K30" s="20" t="s">
        <v>168</v>
      </c>
      <c r="L30" s="9">
        <v>100000</v>
      </c>
      <c r="M30" s="8">
        <v>782357616</v>
      </c>
    </row>
    <row r="31" spans="1:13" x14ac:dyDescent="0.25">
      <c r="A31" s="8"/>
      <c r="B31" s="8"/>
      <c r="C31" s="8"/>
      <c r="D31" s="8"/>
      <c r="E31" s="9"/>
      <c r="F31" s="9"/>
      <c r="G31" s="9"/>
      <c r="H31" s="8" t="s">
        <v>169</v>
      </c>
      <c r="I31" s="7">
        <v>46072</v>
      </c>
      <c r="J31" s="20" t="s">
        <v>146</v>
      </c>
      <c r="K31" s="20" t="s">
        <v>170</v>
      </c>
      <c r="L31" s="9">
        <v>150000</v>
      </c>
      <c r="M31" s="8">
        <v>700742461</v>
      </c>
    </row>
    <row r="32" spans="1:13" x14ac:dyDescent="0.25">
      <c r="A32" s="8"/>
      <c r="B32" s="8"/>
      <c r="C32" s="8"/>
      <c r="D32" s="8"/>
      <c r="E32" s="9"/>
      <c r="F32" s="9"/>
      <c r="G32" s="9"/>
      <c r="H32" s="8"/>
      <c r="I32" s="7">
        <v>46073</v>
      </c>
      <c r="J32" s="20" t="s">
        <v>146</v>
      </c>
      <c r="K32" s="20" t="s">
        <v>171</v>
      </c>
      <c r="L32" s="9">
        <v>100000</v>
      </c>
      <c r="M32" s="8">
        <v>700742461</v>
      </c>
    </row>
    <row r="33" spans="1:13" ht="30" x14ac:dyDescent="0.25">
      <c r="A33" s="8"/>
      <c r="B33" s="8"/>
      <c r="C33" s="8"/>
      <c r="D33" s="8"/>
      <c r="E33" s="9"/>
      <c r="F33" s="9"/>
      <c r="G33" s="9"/>
      <c r="H33" s="8"/>
      <c r="I33" s="7">
        <v>46073</v>
      </c>
      <c r="J33" s="20" t="s">
        <v>172</v>
      </c>
      <c r="K33" s="20" t="s">
        <v>173</v>
      </c>
      <c r="L33" s="9">
        <v>300000</v>
      </c>
      <c r="M33" s="8">
        <v>756692113</v>
      </c>
    </row>
    <row r="34" spans="1:13" ht="30" x14ac:dyDescent="0.25">
      <c r="A34" s="8"/>
      <c r="B34" s="8"/>
      <c r="C34" s="8"/>
      <c r="D34" s="8"/>
      <c r="E34" s="9"/>
      <c r="F34" s="9"/>
      <c r="G34" s="9"/>
      <c r="H34" s="8"/>
      <c r="I34" s="7">
        <v>46073</v>
      </c>
      <c r="J34" s="20" t="s">
        <v>174</v>
      </c>
      <c r="K34" s="20" t="s">
        <v>175</v>
      </c>
      <c r="L34" s="9">
        <v>44000</v>
      </c>
      <c r="M34" s="8">
        <v>779915273</v>
      </c>
    </row>
    <row r="35" spans="1:13" x14ac:dyDescent="0.25">
      <c r="A35" s="8"/>
      <c r="B35" s="8"/>
      <c r="C35" s="8"/>
      <c r="D35" s="8"/>
      <c r="E35" s="9"/>
      <c r="F35" s="9"/>
      <c r="G35" s="9"/>
      <c r="H35" s="8"/>
      <c r="I35" s="7">
        <v>46075</v>
      </c>
      <c r="J35" s="20" t="s">
        <v>140</v>
      </c>
      <c r="K35" s="20" t="s">
        <v>176</v>
      </c>
      <c r="L35" s="9">
        <v>50000</v>
      </c>
      <c r="M35" s="8" t="s">
        <v>177</v>
      </c>
    </row>
    <row r="36" spans="1:13" x14ac:dyDescent="0.25">
      <c r="A36" s="8"/>
      <c r="B36" s="8"/>
      <c r="C36" s="8"/>
      <c r="D36" s="8"/>
      <c r="E36" s="9"/>
      <c r="F36" s="9"/>
      <c r="G36" s="9"/>
      <c r="H36" s="8"/>
      <c r="I36" s="7">
        <v>46076</v>
      </c>
      <c r="J36" s="20" t="s">
        <v>140</v>
      </c>
      <c r="K36" s="20" t="s">
        <v>178</v>
      </c>
      <c r="L36" s="9">
        <v>2000</v>
      </c>
      <c r="M36" s="8" t="s">
        <v>13</v>
      </c>
    </row>
    <row r="37" spans="1:13" x14ac:dyDescent="0.25">
      <c r="A37" s="8"/>
      <c r="B37" s="8"/>
      <c r="C37" s="8"/>
      <c r="D37" s="8"/>
      <c r="E37" s="9"/>
      <c r="F37" s="9"/>
      <c r="G37" s="9"/>
      <c r="H37" s="8"/>
      <c r="I37" s="7"/>
      <c r="J37" s="20"/>
      <c r="K37" s="20"/>
      <c r="L37" s="9"/>
      <c r="M37" s="8"/>
    </row>
    <row r="38" spans="1:13" x14ac:dyDescent="0.25">
      <c r="A38" s="8"/>
      <c r="B38" s="8"/>
      <c r="C38" s="8"/>
      <c r="D38" s="8"/>
      <c r="E38" s="9"/>
      <c r="F38" s="9"/>
      <c r="G38" s="9"/>
      <c r="H38" s="8"/>
      <c r="I38" s="7"/>
      <c r="J38" s="8"/>
      <c r="K38" s="8"/>
      <c r="L38" s="9"/>
      <c r="M38" s="8"/>
    </row>
    <row r="39" spans="1:13" x14ac:dyDescent="0.25">
      <c r="A39" s="3"/>
      <c r="B39" s="3" t="s">
        <v>14</v>
      </c>
      <c r="C39" s="3"/>
      <c r="D39" s="10">
        <f>SUM(D5:D29)</f>
        <v>0</v>
      </c>
      <c r="E39" s="10"/>
      <c r="F39" s="10">
        <f>SUM(F5:F29)</f>
        <v>8945500</v>
      </c>
      <c r="G39" s="10"/>
      <c r="H39" s="10"/>
      <c r="I39" s="10"/>
      <c r="J39" s="3" t="s">
        <v>14</v>
      </c>
      <c r="K39" s="10"/>
      <c r="L39" s="10">
        <f>SUM(L5:L38)</f>
        <v>8748000</v>
      </c>
      <c r="M39" s="3"/>
    </row>
    <row r="40" spans="1:13" x14ac:dyDescent="0.25">
      <c r="A40" s="6"/>
      <c r="B40" s="6"/>
      <c r="C40" s="6"/>
      <c r="D40" s="6"/>
      <c r="E40" s="12"/>
      <c r="F40" s="12"/>
      <c r="G40" s="12"/>
      <c r="H40" s="6"/>
      <c r="I40" s="6"/>
      <c r="J40" s="6"/>
      <c r="K40" s="6"/>
      <c r="L40" s="12"/>
      <c r="M40" s="6"/>
    </row>
    <row r="41" spans="1:13" x14ac:dyDescent="0.25">
      <c r="A41" s="6"/>
      <c r="B41" s="6"/>
      <c r="C41" s="6"/>
      <c r="D41" s="6"/>
      <c r="E41" s="11"/>
      <c r="F41" s="12" t="s">
        <v>13</v>
      </c>
      <c r="G41" s="12"/>
      <c r="H41" s="6"/>
      <c r="I41" s="6"/>
      <c r="J41" s="6"/>
      <c r="K41" s="6"/>
      <c r="L41" s="12"/>
      <c r="M41" s="6"/>
    </row>
    <row r="42" spans="1:13" x14ac:dyDescent="0.25">
      <c r="A42" s="6"/>
      <c r="B42" s="8" t="s">
        <v>15</v>
      </c>
      <c r="C42" s="8" t="s">
        <v>16</v>
      </c>
      <c r="D42" s="8"/>
      <c r="E42" s="13"/>
      <c r="F42" s="9">
        <f>F39</f>
        <v>8945500</v>
      </c>
      <c r="G42" s="12"/>
      <c r="H42" s="6"/>
      <c r="I42" s="6"/>
      <c r="J42" s="6"/>
      <c r="K42" s="6"/>
      <c r="L42" s="12"/>
      <c r="M42" s="6"/>
    </row>
    <row r="43" spans="1:13" ht="15.75" thickBot="1" x14ac:dyDescent="0.3">
      <c r="A43" s="6"/>
      <c r="B43" s="14"/>
      <c r="C43" s="14" t="s">
        <v>17</v>
      </c>
      <c r="D43" s="14"/>
      <c r="E43" s="15"/>
      <c r="F43" s="15">
        <f>L39</f>
        <v>8748000</v>
      </c>
      <c r="G43" s="12"/>
      <c r="H43" s="6"/>
      <c r="I43" s="6"/>
      <c r="J43" s="6"/>
      <c r="K43" s="6"/>
      <c r="L43" s="12"/>
      <c r="M43" s="6"/>
    </row>
    <row r="44" spans="1:13" ht="15.75" thickBot="1" x14ac:dyDescent="0.3">
      <c r="A44" s="6"/>
      <c r="B44" s="16" t="s">
        <v>18</v>
      </c>
      <c r="C44" s="17" t="s">
        <v>19</v>
      </c>
      <c r="D44" s="17"/>
      <c r="E44" s="18"/>
      <c r="F44" s="19">
        <f>F42-F43</f>
        <v>197500</v>
      </c>
      <c r="G44" s="12"/>
      <c r="H44" s="6"/>
      <c r="I44" s="6"/>
      <c r="J44" s="6"/>
      <c r="K44" s="6"/>
      <c r="L44" s="12"/>
      <c r="M44" s="6"/>
    </row>
    <row r="45" spans="1:13" ht="30" x14ac:dyDescent="0.25">
      <c r="A45" s="6"/>
      <c r="B45" s="6"/>
      <c r="C45" s="6"/>
      <c r="D45" s="6"/>
      <c r="E45" s="12"/>
      <c r="F45" s="12"/>
      <c r="G45" s="12"/>
      <c r="H45" s="6"/>
      <c r="I45" s="26">
        <v>46060</v>
      </c>
      <c r="J45" s="25" t="s">
        <v>132</v>
      </c>
      <c r="K45" s="20" t="s">
        <v>131</v>
      </c>
      <c r="L45" s="9">
        <v>1160000</v>
      </c>
      <c r="M45" s="6"/>
    </row>
    <row r="46" spans="1:13" x14ac:dyDescent="0.25">
      <c r="A46" s="6"/>
      <c r="B46" s="6"/>
      <c r="C46" s="6"/>
      <c r="D46" s="6"/>
      <c r="E46" s="12"/>
      <c r="F46" s="12"/>
      <c r="G46" s="12"/>
      <c r="H46" s="6"/>
      <c r="I46" s="27"/>
      <c r="J46" s="8"/>
      <c r="K46" s="8"/>
      <c r="L46" s="9"/>
      <c r="M46" s="6"/>
    </row>
    <row r="47" spans="1:13" x14ac:dyDescent="0.25">
      <c r="A47" s="6"/>
      <c r="B47" s="6"/>
      <c r="C47" s="6"/>
      <c r="D47" s="6"/>
      <c r="E47" s="12"/>
      <c r="F47" s="12"/>
      <c r="G47" s="12"/>
      <c r="H47" s="6"/>
      <c r="I47" s="28">
        <v>46060</v>
      </c>
      <c r="J47" s="8" t="s">
        <v>24</v>
      </c>
      <c r="K47" s="8" t="s">
        <v>133</v>
      </c>
      <c r="L47" s="9">
        <v>175000</v>
      </c>
      <c r="M47" s="6"/>
    </row>
    <row r="48" spans="1:13" x14ac:dyDescent="0.25">
      <c r="A48" s="6"/>
      <c r="B48" s="6"/>
      <c r="C48" s="6"/>
      <c r="D48" s="6"/>
      <c r="E48" s="12"/>
      <c r="F48" s="12"/>
      <c r="G48" s="12"/>
      <c r="H48" s="6"/>
      <c r="I48" s="6"/>
      <c r="J48" s="6"/>
      <c r="K48" s="6"/>
      <c r="L48" s="12">
        <f>SUM(L45:L47)</f>
        <v>1335000</v>
      </c>
      <c r="M48" s="6"/>
    </row>
  </sheetData>
  <mergeCells count="4">
    <mergeCell ref="A1:L1"/>
    <mergeCell ref="A2:L2"/>
    <mergeCell ref="A3:F3"/>
    <mergeCell ref="I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F13" workbookViewId="0">
      <selection activeCell="F17" sqref="A17:XFD17"/>
    </sheetView>
  </sheetViews>
  <sheetFormatPr defaultRowHeight="15" x14ac:dyDescent="0.25"/>
  <cols>
    <col min="1" max="1" width="10.140625" bestFit="1" customWidth="1"/>
    <col min="2" max="2" width="14.7109375" bestFit="1" customWidth="1"/>
    <col min="6" max="6" width="10.28515625" bestFit="1" customWidth="1"/>
    <col min="9" max="9" width="10.140625" bestFit="1" customWidth="1"/>
    <col min="10" max="10" width="26" bestFit="1" customWidth="1"/>
    <col min="11" max="11" width="32.28515625" bestFit="1" customWidth="1"/>
    <col min="12" max="12" width="10.28515625" bestFit="1" customWidth="1"/>
    <col min="13" max="13" width="17.42578125" customWidth="1"/>
  </cols>
  <sheetData>
    <row r="1" spans="1:13" ht="15.75" x14ac:dyDescent="0.25">
      <c r="A1" s="160" t="s">
        <v>20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2"/>
    </row>
    <row r="2" spans="1:13" ht="15.75" x14ac:dyDescent="0.2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2"/>
    </row>
    <row r="3" spans="1:13" ht="15.75" x14ac:dyDescent="0.25">
      <c r="A3" s="161" t="s">
        <v>1</v>
      </c>
      <c r="B3" s="161"/>
      <c r="C3" s="161"/>
      <c r="D3" s="161"/>
      <c r="E3" s="161"/>
      <c r="F3" s="161"/>
      <c r="G3" s="30"/>
      <c r="H3" s="30"/>
      <c r="I3" s="161" t="s">
        <v>2</v>
      </c>
      <c r="J3" s="161"/>
      <c r="K3" s="161"/>
      <c r="L3" s="161"/>
      <c r="M3" s="2"/>
    </row>
    <row r="4" spans="1:13" ht="30" x14ac:dyDescent="0.25">
      <c r="A4" s="3" t="s">
        <v>3</v>
      </c>
      <c r="B4" s="3" t="s">
        <v>4</v>
      </c>
      <c r="C4" s="3" t="s">
        <v>5</v>
      </c>
      <c r="D4" s="4" t="s">
        <v>6</v>
      </c>
      <c r="E4" s="5" t="s">
        <v>7</v>
      </c>
      <c r="F4" s="4" t="s">
        <v>8</v>
      </c>
      <c r="G4" s="5" t="s">
        <v>9</v>
      </c>
      <c r="H4" s="3"/>
      <c r="I4" s="3" t="s">
        <v>3</v>
      </c>
      <c r="J4" s="3" t="s">
        <v>10</v>
      </c>
      <c r="K4" s="3" t="s">
        <v>11</v>
      </c>
      <c r="L4" s="4" t="s">
        <v>8</v>
      </c>
      <c r="M4" s="5" t="s">
        <v>9</v>
      </c>
    </row>
    <row r="5" spans="1:13" ht="30" x14ac:dyDescent="0.25">
      <c r="A5" s="7">
        <v>46076</v>
      </c>
      <c r="B5" s="8"/>
      <c r="C5" s="8" t="s">
        <v>181</v>
      </c>
      <c r="D5" s="8"/>
      <c r="E5" s="9"/>
      <c r="F5" s="9">
        <v>7080000</v>
      </c>
      <c r="G5" s="9" t="s">
        <v>13</v>
      </c>
      <c r="H5" s="8"/>
      <c r="I5" s="7">
        <v>46076</v>
      </c>
      <c r="J5" s="20" t="s">
        <v>204</v>
      </c>
      <c r="K5" s="20" t="s">
        <v>183</v>
      </c>
      <c r="L5" s="9">
        <v>1160000</v>
      </c>
      <c r="M5" s="8" t="s">
        <v>13</v>
      </c>
    </row>
    <row r="6" spans="1:13" x14ac:dyDescent="0.25">
      <c r="A6" s="7">
        <v>46076</v>
      </c>
      <c r="C6" t="s">
        <v>182</v>
      </c>
      <c r="D6" s="8"/>
      <c r="E6" s="9"/>
      <c r="F6" s="9">
        <v>197500</v>
      </c>
      <c r="G6" s="9"/>
      <c r="H6" s="8"/>
      <c r="I6" s="7"/>
      <c r="J6" s="20"/>
      <c r="K6" s="20"/>
      <c r="L6" s="9"/>
      <c r="M6" s="8"/>
    </row>
    <row r="7" spans="1:13" ht="30" x14ac:dyDescent="0.25">
      <c r="A7" s="7"/>
      <c r="B7" s="8"/>
      <c r="C7" s="8"/>
      <c r="D7" s="8"/>
      <c r="E7" s="9"/>
      <c r="F7" s="9"/>
      <c r="G7" s="9"/>
      <c r="H7" s="8"/>
      <c r="I7" s="7">
        <v>44980</v>
      </c>
      <c r="J7" s="32" t="s">
        <v>205</v>
      </c>
      <c r="K7" s="8" t="s">
        <v>184</v>
      </c>
      <c r="L7" s="9">
        <v>175000</v>
      </c>
      <c r="M7" s="8" t="s">
        <v>13</v>
      </c>
    </row>
    <row r="8" spans="1:13" x14ac:dyDescent="0.25">
      <c r="A8" s="7"/>
      <c r="B8" s="8"/>
      <c r="C8" s="8"/>
      <c r="D8" s="8"/>
      <c r="E8" s="9"/>
      <c r="F8" s="9"/>
      <c r="G8" s="9"/>
      <c r="H8" s="8"/>
      <c r="I8" s="7"/>
      <c r="L8" s="29"/>
      <c r="M8" s="8"/>
    </row>
    <row r="9" spans="1:13" x14ac:dyDescent="0.25">
      <c r="A9" s="7"/>
      <c r="B9" s="8"/>
      <c r="C9" s="8"/>
      <c r="D9" s="8"/>
      <c r="E9" s="9"/>
      <c r="F9" s="9"/>
      <c r="G9" s="9"/>
      <c r="H9" s="8"/>
      <c r="I9" s="7">
        <v>46078</v>
      </c>
      <c r="J9" s="8" t="s">
        <v>140</v>
      </c>
      <c r="K9" s="8" t="s">
        <v>185</v>
      </c>
      <c r="L9" s="9">
        <v>110000</v>
      </c>
      <c r="M9" s="8" t="s">
        <v>13</v>
      </c>
    </row>
    <row r="10" spans="1:13" x14ac:dyDescent="0.25">
      <c r="A10" s="7"/>
      <c r="B10" s="8"/>
      <c r="C10" s="8"/>
      <c r="D10" s="8"/>
      <c r="E10" s="9"/>
      <c r="F10" s="9"/>
      <c r="G10" s="9"/>
      <c r="H10" s="8"/>
      <c r="I10" s="7"/>
      <c r="J10" s="8"/>
      <c r="K10" s="8"/>
      <c r="L10" s="9"/>
      <c r="M10" s="8"/>
    </row>
    <row r="11" spans="1:13" ht="90" x14ac:dyDescent="0.25">
      <c r="A11" s="8"/>
      <c r="B11" s="8"/>
      <c r="C11" s="8"/>
      <c r="D11" s="8"/>
      <c r="E11" s="9"/>
      <c r="F11" s="9"/>
      <c r="G11" s="9"/>
      <c r="H11" s="8"/>
      <c r="I11" s="7">
        <v>46079</v>
      </c>
      <c r="J11" s="8" t="s">
        <v>257</v>
      </c>
      <c r="K11" s="20" t="s">
        <v>186</v>
      </c>
      <c r="L11" s="9">
        <v>1300000</v>
      </c>
      <c r="M11" s="8">
        <v>700742461</v>
      </c>
    </row>
    <row r="12" spans="1:13" ht="30" x14ac:dyDescent="0.25">
      <c r="A12" s="8"/>
      <c r="B12" s="8"/>
      <c r="C12" s="8"/>
      <c r="D12" s="8"/>
      <c r="E12" s="9"/>
      <c r="F12" s="9"/>
      <c r="G12" s="9"/>
      <c r="H12" s="8"/>
      <c r="I12" s="7">
        <v>46079</v>
      </c>
      <c r="J12" s="8" t="s">
        <v>187</v>
      </c>
      <c r="K12" s="20" t="s">
        <v>188</v>
      </c>
      <c r="L12" s="9">
        <v>346000</v>
      </c>
      <c r="M12" s="20"/>
    </row>
    <row r="13" spans="1:13" ht="30" x14ac:dyDescent="0.25">
      <c r="A13" s="8"/>
      <c r="B13" s="8"/>
      <c r="C13" s="8"/>
      <c r="D13" s="8"/>
      <c r="E13" s="9"/>
      <c r="F13" s="9"/>
      <c r="G13" s="9"/>
      <c r="H13" s="8"/>
      <c r="I13" s="7"/>
      <c r="J13" s="8"/>
      <c r="K13" s="20" t="s">
        <v>189</v>
      </c>
      <c r="L13" s="9">
        <v>29000</v>
      </c>
      <c r="M13" s="8">
        <v>771452920</v>
      </c>
    </row>
    <row r="14" spans="1:13" x14ac:dyDescent="0.25">
      <c r="A14" s="8"/>
      <c r="B14" s="8"/>
      <c r="C14" s="8"/>
      <c r="D14" s="8"/>
      <c r="E14" s="9"/>
      <c r="F14" s="9"/>
      <c r="G14" s="9"/>
      <c r="H14" s="8"/>
      <c r="I14" s="7"/>
      <c r="J14" s="8"/>
      <c r="K14" s="20"/>
      <c r="L14" s="9"/>
      <c r="M14" s="8"/>
    </row>
    <row r="15" spans="1:13" x14ac:dyDescent="0.25">
      <c r="A15" s="8"/>
      <c r="B15" s="8"/>
      <c r="C15" s="8"/>
      <c r="D15" s="8"/>
      <c r="E15" s="9"/>
      <c r="F15" s="9"/>
      <c r="G15" s="9"/>
      <c r="H15" s="8"/>
      <c r="I15" s="7">
        <v>46079</v>
      </c>
      <c r="J15" s="8" t="s">
        <v>190</v>
      </c>
      <c r="K15" s="8" t="s">
        <v>191</v>
      </c>
      <c r="L15" s="9">
        <v>200000</v>
      </c>
      <c r="M15" s="8">
        <v>706926441</v>
      </c>
    </row>
    <row r="16" spans="1:13" x14ac:dyDescent="0.25">
      <c r="A16" s="8"/>
      <c r="B16" s="8"/>
      <c r="C16" s="8"/>
      <c r="D16" s="8"/>
      <c r="E16" s="9"/>
      <c r="F16" s="9"/>
      <c r="G16" s="9"/>
      <c r="H16" s="8"/>
      <c r="I16" s="7"/>
      <c r="J16" s="8"/>
      <c r="K16" s="20"/>
      <c r="L16" s="9"/>
      <c r="M16" s="8"/>
    </row>
    <row r="17" spans="1:15" x14ac:dyDescent="0.25">
      <c r="A17" s="8"/>
      <c r="B17" s="8"/>
      <c r="C17" s="8"/>
      <c r="D17" s="8"/>
      <c r="E17" s="9"/>
      <c r="F17" s="9"/>
      <c r="G17" s="9"/>
      <c r="H17" s="8"/>
      <c r="I17" s="7">
        <v>46079</v>
      </c>
      <c r="J17" s="8" t="s">
        <v>192</v>
      </c>
      <c r="K17" s="8" t="s">
        <v>193</v>
      </c>
      <c r="L17" s="9">
        <v>100000</v>
      </c>
      <c r="M17" s="8">
        <v>700742461</v>
      </c>
    </row>
    <row r="18" spans="1:15" ht="30" x14ac:dyDescent="0.25">
      <c r="A18" s="8"/>
      <c r="B18" s="8"/>
      <c r="C18" s="8"/>
      <c r="D18" s="8"/>
      <c r="E18" s="9"/>
      <c r="F18" s="9"/>
      <c r="G18" s="9"/>
      <c r="H18" s="8"/>
      <c r="I18" s="7"/>
      <c r="J18" s="8" t="s">
        <v>194</v>
      </c>
      <c r="K18" s="20" t="s">
        <v>195</v>
      </c>
      <c r="L18" s="9">
        <v>101000</v>
      </c>
      <c r="M18" s="8">
        <v>700742461</v>
      </c>
    </row>
    <row r="19" spans="1:15" ht="30" x14ac:dyDescent="0.25">
      <c r="A19" s="8"/>
      <c r="B19" s="8"/>
      <c r="C19" s="8"/>
      <c r="D19" s="8"/>
      <c r="E19" s="9"/>
      <c r="F19" s="9"/>
      <c r="G19" s="9"/>
      <c r="H19" s="8"/>
      <c r="I19" s="7"/>
      <c r="J19" s="8" t="s">
        <v>196</v>
      </c>
      <c r="K19" s="20" t="s">
        <v>197</v>
      </c>
      <c r="L19" s="9">
        <v>140000</v>
      </c>
      <c r="M19" s="8" t="s">
        <v>201</v>
      </c>
    </row>
    <row r="20" spans="1:15" x14ac:dyDescent="0.25">
      <c r="A20" s="8"/>
      <c r="B20" s="8"/>
      <c r="C20" s="8"/>
      <c r="D20" s="8"/>
      <c r="E20" s="9"/>
      <c r="F20" s="9"/>
      <c r="G20" s="9"/>
      <c r="H20" s="8"/>
      <c r="I20" s="8"/>
      <c r="J20" s="8" t="s">
        <v>24</v>
      </c>
      <c r="K20" s="8" t="s">
        <v>198</v>
      </c>
      <c r="L20" s="9">
        <v>200000</v>
      </c>
      <c r="M20" s="8" t="s">
        <v>201</v>
      </c>
    </row>
    <row r="21" spans="1:15" x14ac:dyDescent="0.25">
      <c r="A21" s="8"/>
      <c r="B21" s="8"/>
      <c r="C21" s="8"/>
      <c r="D21" s="8"/>
      <c r="E21" s="9"/>
      <c r="F21" s="9"/>
      <c r="G21" s="9"/>
      <c r="H21" s="8"/>
      <c r="I21" s="7"/>
      <c r="J21" s="8" t="s">
        <v>24</v>
      </c>
      <c r="K21" s="20" t="s">
        <v>199</v>
      </c>
      <c r="L21" s="9">
        <v>50000</v>
      </c>
      <c r="M21" s="8" t="s">
        <v>201</v>
      </c>
    </row>
    <row r="22" spans="1:15" x14ac:dyDescent="0.25">
      <c r="A22" s="8"/>
      <c r="B22" s="8"/>
      <c r="C22" s="8"/>
      <c r="D22" s="8"/>
      <c r="E22" s="9"/>
      <c r="F22" s="9"/>
      <c r="G22" s="9"/>
      <c r="H22" s="8"/>
      <c r="I22" s="8"/>
      <c r="J22" s="8" t="s">
        <v>253</v>
      </c>
      <c r="K22" s="20" t="s">
        <v>200</v>
      </c>
      <c r="L22" s="9">
        <v>100000</v>
      </c>
      <c r="M22" s="8" t="s">
        <v>201</v>
      </c>
      <c r="O22" s="31"/>
    </row>
    <row r="23" spans="1:15" x14ac:dyDescent="0.25">
      <c r="A23" s="8"/>
      <c r="B23" s="8"/>
      <c r="C23" s="8"/>
      <c r="D23" s="8"/>
      <c r="E23" s="9"/>
      <c r="F23" s="9"/>
      <c r="G23" s="9"/>
      <c r="H23" s="8"/>
      <c r="I23" s="8"/>
      <c r="J23" s="8" t="s">
        <v>254</v>
      </c>
      <c r="K23" s="20" t="s">
        <v>255</v>
      </c>
      <c r="L23" s="9">
        <v>100000</v>
      </c>
      <c r="M23" s="8" t="s">
        <v>201</v>
      </c>
      <c r="O23" s="31"/>
    </row>
    <row r="24" spans="1:15" x14ac:dyDescent="0.25">
      <c r="A24" s="8"/>
      <c r="B24" s="8"/>
      <c r="C24" s="8"/>
      <c r="D24" s="8"/>
      <c r="E24" s="9"/>
      <c r="F24" s="9"/>
      <c r="G24" s="9"/>
      <c r="H24" s="8"/>
      <c r="I24" s="7"/>
      <c r="J24" s="8" t="s">
        <v>24</v>
      </c>
      <c r="K24" s="8" t="s">
        <v>256</v>
      </c>
      <c r="L24" s="9">
        <v>9000</v>
      </c>
      <c r="M24" s="8" t="s">
        <v>201</v>
      </c>
    </row>
    <row r="25" spans="1:15" x14ac:dyDescent="0.25">
      <c r="A25" s="8"/>
      <c r="B25" s="8"/>
      <c r="C25" s="8"/>
      <c r="D25" s="8"/>
      <c r="E25" s="9"/>
      <c r="F25" s="9"/>
      <c r="G25" s="9"/>
      <c r="H25" s="8"/>
      <c r="I25" s="7"/>
      <c r="J25" s="8"/>
      <c r="K25" s="8"/>
      <c r="L25" s="9"/>
      <c r="M25" s="8"/>
    </row>
    <row r="26" spans="1:15" ht="30" x14ac:dyDescent="0.25">
      <c r="A26" s="8"/>
      <c r="B26" s="8"/>
      <c r="C26" s="8"/>
      <c r="D26" s="8"/>
      <c r="E26" s="9"/>
      <c r="F26" s="9"/>
      <c r="G26" s="9"/>
      <c r="H26" s="8"/>
      <c r="I26" s="7">
        <v>46079</v>
      </c>
      <c r="J26" s="8" t="s">
        <v>187</v>
      </c>
      <c r="K26" s="20" t="s">
        <v>202</v>
      </c>
      <c r="L26" s="9">
        <v>100000</v>
      </c>
      <c r="M26" s="8"/>
    </row>
    <row r="27" spans="1:15" x14ac:dyDescent="0.25">
      <c r="A27" s="8"/>
      <c r="B27" s="8"/>
      <c r="C27" s="8"/>
      <c r="D27" s="8"/>
      <c r="E27" s="9"/>
      <c r="F27" s="9"/>
      <c r="G27" s="9"/>
      <c r="H27" s="8"/>
      <c r="I27" s="7"/>
      <c r="J27" s="8"/>
      <c r="K27" s="8" t="s">
        <v>178</v>
      </c>
      <c r="L27" s="9">
        <v>13000</v>
      </c>
      <c r="M27" s="8"/>
    </row>
    <row r="28" spans="1:15" x14ac:dyDescent="0.25">
      <c r="A28" s="8"/>
      <c r="B28" s="8"/>
      <c r="C28" s="8"/>
      <c r="D28" s="8"/>
      <c r="E28" s="9"/>
      <c r="F28" s="9"/>
      <c r="G28" s="9"/>
      <c r="H28" s="8"/>
      <c r="I28" s="7">
        <v>46082</v>
      </c>
      <c r="J28" s="8" t="s">
        <v>140</v>
      </c>
      <c r="K28" s="8" t="s">
        <v>203</v>
      </c>
      <c r="L28" s="9">
        <v>580000</v>
      </c>
      <c r="M28" s="8" t="s">
        <v>13</v>
      </c>
    </row>
    <row r="29" spans="1:15" x14ac:dyDescent="0.25">
      <c r="A29" s="8"/>
      <c r="B29" s="8"/>
      <c r="C29" s="8"/>
      <c r="D29" s="8"/>
      <c r="E29" s="9"/>
      <c r="F29" s="9"/>
      <c r="G29" s="9"/>
      <c r="H29" s="8"/>
      <c r="I29" s="7">
        <v>46082</v>
      </c>
      <c r="J29" s="8" t="s">
        <v>68</v>
      </c>
      <c r="K29" s="20" t="s">
        <v>203</v>
      </c>
      <c r="L29" s="9">
        <v>580000</v>
      </c>
      <c r="M29" s="8" t="s">
        <v>13</v>
      </c>
    </row>
    <row r="30" spans="1:15" x14ac:dyDescent="0.25">
      <c r="A30" s="8"/>
      <c r="B30" s="8"/>
      <c r="C30" s="8"/>
      <c r="D30" s="8"/>
      <c r="E30" s="9"/>
      <c r="F30" s="9"/>
      <c r="G30" s="9"/>
      <c r="H30" s="8"/>
      <c r="I30" s="7"/>
      <c r="J30" s="8"/>
      <c r="K30" s="20"/>
      <c r="L30" s="9"/>
      <c r="M30" s="8"/>
    </row>
    <row r="31" spans="1:15" x14ac:dyDescent="0.25">
      <c r="A31" s="8"/>
      <c r="B31" s="8"/>
      <c r="C31" s="8"/>
      <c r="D31" s="8"/>
      <c r="E31" s="9"/>
      <c r="F31" s="9"/>
      <c r="G31" s="9"/>
      <c r="H31" s="8"/>
      <c r="I31" s="7">
        <v>46082</v>
      </c>
      <c r="J31" s="20" t="s">
        <v>206</v>
      </c>
      <c r="K31" s="20" t="s">
        <v>207</v>
      </c>
      <c r="L31" s="9">
        <v>800000</v>
      </c>
      <c r="M31" s="8">
        <v>700742461</v>
      </c>
    </row>
    <row r="32" spans="1:15" ht="30" x14ac:dyDescent="0.25">
      <c r="A32" s="8"/>
      <c r="B32" s="8"/>
      <c r="C32" s="8"/>
      <c r="D32" s="8"/>
      <c r="E32" s="9"/>
      <c r="F32" s="9"/>
      <c r="G32" s="9"/>
      <c r="H32" s="8"/>
      <c r="I32" s="7">
        <v>46082</v>
      </c>
      <c r="J32" s="20" t="s">
        <v>208</v>
      </c>
      <c r="K32" s="20" t="s">
        <v>211</v>
      </c>
      <c r="L32" s="9">
        <f>150000+3000</f>
        <v>153000</v>
      </c>
      <c r="M32" s="8">
        <v>706926441</v>
      </c>
    </row>
    <row r="33" spans="1:13" x14ac:dyDescent="0.25">
      <c r="A33" s="8"/>
      <c r="B33" s="8"/>
      <c r="C33" s="8"/>
      <c r="D33" s="8"/>
      <c r="E33" s="9"/>
      <c r="F33" s="9"/>
      <c r="G33" s="9"/>
      <c r="H33" s="8"/>
      <c r="I33" s="7">
        <v>46082</v>
      </c>
      <c r="J33" s="20" t="s">
        <v>209</v>
      </c>
      <c r="K33" s="20" t="s">
        <v>210</v>
      </c>
      <c r="L33" s="9">
        <v>330000</v>
      </c>
      <c r="M33" s="8">
        <v>752399990</v>
      </c>
    </row>
    <row r="34" spans="1:13" x14ac:dyDescent="0.25">
      <c r="A34" s="8"/>
      <c r="B34" s="8"/>
      <c r="C34" s="8"/>
      <c r="D34" s="8"/>
      <c r="E34" s="9"/>
      <c r="F34" s="9"/>
      <c r="G34" s="9"/>
      <c r="H34" s="8"/>
      <c r="I34" s="7">
        <v>46082</v>
      </c>
      <c r="J34" s="20" t="s">
        <v>212</v>
      </c>
      <c r="K34" s="20" t="s">
        <v>213</v>
      </c>
      <c r="L34" s="9">
        <v>100000</v>
      </c>
      <c r="M34" s="8" t="s">
        <v>214</v>
      </c>
    </row>
    <row r="35" spans="1:13" x14ac:dyDescent="0.25">
      <c r="A35" s="8"/>
      <c r="B35" s="8"/>
      <c r="C35" s="8"/>
      <c r="D35" s="8"/>
      <c r="E35" s="9"/>
      <c r="F35" s="9"/>
      <c r="G35" s="9"/>
      <c r="H35" s="8"/>
      <c r="I35" s="7">
        <v>46082</v>
      </c>
      <c r="J35" s="20" t="s">
        <v>215</v>
      </c>
      <c r="K35" s="20" t="s">
        <v>216</v>
      </c>
      <c r="L35" s="9">
        <v>300000</v>
      </c>
      <c r="M35" s="8" t="s">
        <v>13</v>
      </c>
    </row>
    <row r="36" spans="1:13" x14ac:dyDescent="0.25">
      <c r="A36" s="8"/>
      <c r="B36" s="8"/>
      <c r="C36" s="8"/>
      <c r="D36" s="8"/>
      <c r="E36" s="9"/>
      <c r="F36" s="9"/>
      <c r="G36" s="9"/>
      <c r="H36" s="8"/>
      <c r="I36" s="7">
        <v>46082</v>
      </c>
      <c r="J36" s="20" t="s">
        <v>217</v>
      </c>
      <c r="K36" s="20" t="s">
        <v>231</v>
      </c>
      <c r="L36" s="9">
        <v>65000</v>
      </c>
      <c r="M36" s="8">
        <v>745921786</v>
      </c>
    </row>
    <row r="37" spans="1:13" x14ac:dyDescent="0.25">
      <c r="A37" s="8"/>
      <c r="B37" s="8"/>
      <c r="C37" s="8"/>
      <c r="D37" s="8"/>
      <c r="E37" s="9"/>
      <c r="F37" s="9"/>
      <c r="G37" s="9"/>
      <c r="H37" s="8"/>
      <c r="I37" s="7">
        <v>46083</v>
      </c>
      <c r="J37" s="20" t="s">
        <v>140</v>
      </c>
      <c r="K37" s="20" t="s">
        <v>218</v>
      </c>
      <c r="L37" s="9">
        <v>4000</v>
      </c>
      <c r="M37" s="8" t="s">
        <v>13</v>
      </c>
    </row>
    <row r="38" spans="1:13" x14ac:dyDescent="0.25">
      <c r="A38" s="8"/>
      <c r="B38" s="8"/>
      <c r="C38" s="8"/>
      <c r="D38" s="8"/>
      <c r="E38" s="9"/>
      <c r="F38" s="9"/>
      <c r="G38" s="9"/>
      <c r="H38" s="8"/>
      <c r="I38" s="7"/>
      <c r="J38" s="20"/>
      <c r="K38" s="20"/>
      <c r="L38" s="9"/>
      <c r="M38" s="8"/>
    </row>
    <row r="39" spans="1:13" x14ac:dyDescent="0.25">
      <c r="A39" s="8"/>
      <c r="B39" s="8"/>
      <c r="C39" s="8"/>
      <c r="D39" s="8"/>
      <c r="E39" s="9"/>
      <c r="F39" s="9"/>
      <c r="G39" s="9"/>
      <c r="H39" s="8"/>
      <c r="I39" s="7"/>
      <c r="J39" s="20"/>
      <c r="K39" s="20"/>
      <c r="L39" s="9"/>
      <c r="M39" s="8"/>
    </row>
    <row r="40" spans="1:13" x14ac:dyDescent="0.25">
      <c r="A40" s="8"/>
      <c r="B40" s="8"/>
      <c r="C40" s="8"/>
      <c r="D40" s="8"/>
      <c r="E40" s="9"/>
      <c r="F40" s="9"/>
      <c r="G40" s="9"/>
      <c r="H40" s="8"/>
      <c r="I40" s="7"/>
      <c r="J40" s="8"/>
      <c r="K40" s="8"/>
      <c r="L40" s="9"/>
      <c r="M40" s="8"/>
    </row>
    <row r="41" spans="1:13" x14ac:dyDescent="0.25">
      <c r="A41" s="3"/>
      <c r="B41" s="3" t="s">
        <v>14</v>
      </c>
      <c r="C41" s="3"/>
      <c r="D41" s="10">
        <f>SUM(D5:D31)</f>
        <v>0</v>
      </c>
      <c r="E41" s="10"/>
      <c r="F41" s="10">
        <f>SUM(F5:F31)</f>
        <v>7277500</v>
      </c>
      <c r="G41" s="10"/>
      <c r="H41" s="10"/>
      <c r="I41" s="10"/>
      <c r="J41" s="3" t="s">
        <v>14</v>
      </c>
      <c r="K41" s="10"/>
      <c r="L41" s="10">
        <f>SUM(L5:L40)</f>
        <v>7145000</v>
      </c>
      <c r="M41" s="3"/>
    </row>
    <row r="42" spans="1:13" x14ac:dyDescent="0.25">
      <c r="A42" s="6"/>
      <c r="B42" s="6"/>
      <c r="C42" s="6"/>
      <c r="D42" s="6"/>
      <c r="E42" s="12"/>
      <c r="F42" s="12"/>
      <c r="G42" s="12"/>
      <c r="H42" s="6"/>
      <c r="I42" s="6"/>
      <c r="J42" s="6"/>
      <c r="K42" s="6"/>
      <c r="L42" s="12"/>
      <c r="M42" s="6"/>
    </row>
    <row r="43" spans="1:13" x14ac:dyDescent="0.25">
      <c r="A43" s="6"/>
      <c r="B43" s="6"/>
      <c r="C43" s="6"/>
      <c r="D43" s="6"/>
      <c r="E43" s="11"/>
      <c r="F43" s="12" t="s">
        <v>13</v>
      </c>
      <c r="G43" s="12"/>
      <c r="H43" s="6"/>
      <c r="I43" s="6"/>
      <c r="J43" s="6"/>
      <c r="K43" s="6"/>
      <c r="L43" s="12"/>
      <c r="M43" s="6"/>
    </row>
    <row r="44" spans="1:13" x14ac:dyDescent="0.25">
      <c r="A44" s="6"/>
      <c r="B44" s="8" t="s">
        <v>15</v>
      </c>
      <c r="C44" s="8" t="s">
        <v>16</v>
      </c>
      <c r="D44" s="8"/>
      <c r="E44" s="13"/>
      <c r="F44" s="9">
        <f>F41</f>
        <v>7277500</v>
      </c>
      <c r="G44" s="12"/>
      <c r="H44" s="6"/>
      <c r="I44" s="6"/>
      <c r="J44" s="6"/>
      <c r="K44" s="6"/>
      <c r="L44" s="12"/>
      <c r="M44" s="6"/>
    </row>
    <row r="45" spans="1:13" ht="15.75" thickBot="1" x14ac:dyDescent="0.3">
      <c r="A45" s="6"/>
      <c r="B45" s="14"/>
      <c r="C45" s="14" t="s">
        <v>17</v>
      </c>
      <c r="D45" s="14"/>
      <c r="E45" s="15"/>
      <c r="F45" s="15">
        <f>L41</f>
        <v>7145000</v>
      </c>
      <c r="G45" s="12"/>
      <c r="H45" s="6"/>
      <c r="I45" s="6"/>
      <c r="J45" s="6"/>
      <c r="K45" s="6"/>
      <c r="L45" s="12"/>
      <c r="M45" s="6"/>
    </row>
    <row r="46" spans="1:13" ht="15.75" thickBot="1" x14ac:dyDescent="0.3">
      <c r="A46" s="6"/>
      <c r="B46" s="16" t="s">
        <v>18</v>
      </c>
      <c r="C46" s="17" t="s">
        <v>19</v>
      </c>
      <c r="D46" s="17"/>
      <c r="E46" s="18"/>
      <c r="F46" s="19">
        <f>F44-F45</f>
        <v>132500</v>
      </c>
      <c r="G46" s="12"/>
      <c r="H46" s="6"/>
      <c r="I46" s="6"/>
      <c r="J46" s="6"/>
      <c r="K46" s="6"/>
      <c r="L46" s="12"/>
      <c r="M46" s="6"/>
    </row>
    <row r="47" spans="1:13" ht="30" x14ac:dyDescent="0.25">
      <c r="A47" s="6"/>
      <c r="B47" s="6"/>
      <c r="C47" s="6"/>
      <c r="D47" s="6"/>
      <c r="E47" s="12"/>
      <c r="F47" s="12"/>
      <c r="G47" s="12"/>
      <c r="H47" s="6"/>
      <c r="I47" s="26">
        <v>46060</v>
      </c>
      <c r="J47" s="25" t="s">
        <v>132</v>
      </c>
      <c r="K47" s="20" t="s">
        <v>131</v>
      </c>
      <c r="L47" s="9">
        <v>1160000</v>
      </c>
      <c r="M47" s="6"/>
    </row>
    <row r="48" spans="1:13" x14ac:dyDescent="0.25">
      <c r="A48" s="6"/>
      <c r="B48" s="6"/>
      <c r="C48" s="6"/>
      <c r="D48" s="6"/>
      <c r="E48" s="12"/>
      <c r="F48" s="12"/>
      <c r="G48" s="12"/>
      <c r="H48" s="6"/>
      <c r="I48" s="27"/>
      <c r="J48" s="8"/>
      <c r="K48" s="8"/>
      <c r="L48" s="9"/>
      <c r="M48" s="6"/>
    </row>
    <row r="49" spans="1:13" x14ac:dyDescent="0.25">
      <c r="A49" s="6"/>
      <c r="B49" s="6"/>
      <c r="C49" s="6"/>
      <c r="D49" s="6"/>
      <c r="E49" s="12"/>
      <c r="F49" s="12"/>
      <c r="G49" s="12"/>
      <c r="H49" s="6"/>
      <c r="I49" s="28">
        <v>46060</v>
      </c>
      <c r="J49" s="8" t="s">
        <v>24</v>
      </c>
      <c r="K49" s="8" t="s">
        <v>133</v>
      </c>
      <c r="L49" s="9">
        <v>175000</v>
      </c>
      <c r="M49" s="6"/>
    </row>
    <row r="50" spans="1:13" x14ac:dyDescent="0.25">
      <c r="A50" s="6"/>
      <c r="B50" s="6"/>
      <c r="C50" s="6"/>
      <c r="D50" s="6"/>
      <c r="E50" s="12"/>
      <c r="F50" s="12"/>
      <c r="G50" s="12"/>
      <c r="H50" s="6"/>
      <c r="I50" s="6"/>
      <c r="J50" s="6"/>
      <c r="K50" s="6"/>
      <c r="L50" s="12">
        <f>SUM(L47:L49)</f>
        <v>1335000</v>
      </c>
      <c r="M50" s="6"/>
    </row>
  </sheetData>
  <mergeCells count="4">
    <mergeCell ref="A1:L1"/>
    <mergeCell ref="A2:L2"/>
    <mergeCell ref="A3:F3"/>
    <mergeCell ref="I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Q53"/>
  <sheetViews>
    <sheetView topLeftCell="H10" workbookViewId="0">
      <selection activeCell="H16" sqref="A16:XFD16"/>
    </sheetView>
  </sheetViews>
  <sheetFormatPr defaultRowHeight="15" x14ac:dyDescent="0.25"/>
  <cols>
    <col min="4" max="4" width="10.140625" bestFit="1" customWidth="1"/>
    <col min="6" max="6" width="10.140625" customWidth="1"/>
    <col min="9" max="9" width="11.28515625" bestFit="1" customWidth="1"/>
    <col min="10" max="10" width="10" customWidth="1"/>
    <col min="12" max="12" width="10.140625" bestFit="1" customWidth="1"/>
    <col min="13" max="13" width="18.85546875" bestFit="1" customWidth="1"/>
    <col min="14" max="14" width="30.7109375" bestFit="1" customWidth="1"/>
    <col min="15" max="15" width="12" customWidth="1"/>
    <col min="16" max="16" width="17.5703125" bestFit="1" customWidth="1"/>
  </cols>
  <sheetData>
    <row r="6" spans="4:16" ht="15.75" x14ac:dyDescent="0.25">
      <c r="D6" s="160" t="s">
        <v>20</v>
      </c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2"/>
    </row>
    <row r="7" spans="4:16" ht="15.75" x14ac:dyDescent="0.25">
      <c r="D7" s="160" t="s">
        <v>0</v>
      </c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2"/>
    </row>
    <row r="8" spans="4:16" ht="15.75" x14ac:dyDescent="0.25">
      <c r="D8" s="161" t="s">
        <v>1</v>
      </c>
      <c r="E8" s="161"/>
      <c r="F8" s="161"/>
      <c r="G8" s="161"/>
      <c r="H8" s="161"/>
      <c r="I8" s="161"/>
      <c r="J8" s="33"/>
      <c r="K8" s="33"/>
      <c r="L8" s="161" t="s">
        <v>2</v>
      </c>
      <c r="M8" s="161"/>
      <c r="N8" s="161"/>
      <c r="O8" s="161"/>
      <c r="P8" s="2"/>
    </row>
    <row r="9" spans="4:16" ht="30" x14ac:dyDescent="0.25">
      <c r="D9" s="3" t="s">
        <v>3</v>
      </c>
      <c r="E9" s="3" t="s">
        <v>4</v>
      </c>
      <c r="F9" s="3" t="s">
        <v>5</v>
      </c>
      <c r="G9" s="4" t="s">
        <v>6</v>
      </c>
      <c r="H9" s="5" t="s">
        <v>7</v>
      </c>
      <c r="I9" s="4" t="s">
        <v>8</v>
      </c>
      <c r="J9" s="5" t="s">
        <v>9</v>
      </c>
      <c r="K9" s="3"/>
      <c r="L9" s="3" t="s">
        <v>3</v>
      </c>
      <c r="M9" s="3" t="s">
        <v>10</v>
      </c>
      <c r="N9" s="3" t="s">
        <v>11</v>
      </c>
      <c r="O9" s="4" t="s">
        <v>8</v>
      </c>
      <c r="P9" s="5" t="s">
        <v>9</v>
      </c>
    </row>
    <row r="10" spans="4:16" x14ac:dyDescent="0.25">
      <c r="D10" s="7"/>
      <c r="E10" s="8"/>
      <c r="F10" s="8"/>
      <c r="G10" s="8"/>
      <c r="H10" s="9"/>
      <c r="I10" s="9"/>
      <c r="J10" s="9"/>
      <c r="K10" s="8"/>
      <c r="L10" s="7"/>
      <c r="M10" s="20"/>
      <c r="N10" s="20"/>
      <c r="O10" s="9"/>
      <c r="P10" s="8"/>
    </row>
    <row r="11" spans="4:16" x14ac:dyDescent="0.25">
      <c r="D11" s="7"/>
      <c r="E11" s="37"/>
      <c r="F11" s="37"/>
      <c r="G11" s="8"/>
      <c r="H11" s="9"/>
      <c r="I11" s="9"/>
      <c r="J11" s="38"/>
      <c r="K11" s="14"/>
      <c r="L11" s="7">
        <v>46083</v>
      </c>
      <c r="M11" s="20" t="s">
        <v>228</v>
      </c>
      <c r="N11" s="20" t="s">
        <v>229</v>
      </c>
      <c r="O11" s="9">
        <v>90000</v>
      </c>
      <c r="P11" s="8" t="s">
        <v>230</v>
      </c>
    </row>
    <row r="12" spans="4:16" ht="30" x14ac:dyDescent="0.25">
      <c r="D12" s="7">
        <v>46083</v>
      </c>
      <c r="F12" t="s">
        <v>219</v>
      </c>
      <c r="G12" s="8"/>
      <c r="H12" s="9"/>
      <c r="I12" s="9">
        <v>132500</v>
      </c>
      <c r="J12" s="36"/>
      <c r="K12" s="8"/>
      <c r="L12" s="7">
        <v>46083</v>
      </c>
      <c r="M12" s="20" t="s">
        <v>221</v>
      </c>
      <c r="N12" s="20" t="s">
        <v>222</v>
      </c>
      <c r="O12" s="9">
        <v>5500000</v>
      </c>
      <c r="P12" s="8" t="s">
        <v>13</v>
      </c>
    </row>
    <row r="13" spans="4:16" x14ac:dyDescent="0.25">
      <c r="D13" s="7">
        <v>46083</v>
      </c>
      <c r="E13" s="8"/>
      <c r="F13" s="8" t="s">
        <v>123</v>
      </c>
      <c r="G13" s="8"/>
      <c r="H13" s="9"/>
      <c r="I13" s="9">
        <v>10000000</v>
      </c>
      <c r="J13" s="9" t="s">
        <v>220</v>
      </c>
      <c r="K13" s="8"/>
      <c r="L13" s="7"/>
      <c r="M13" s="35"/>
      <c r="N13" s="34"/>
      <c r="O13" s="9"/>
      <c r="P13" s="8"/>
    </row>
    <row r="14" spans="4:16" ht="30" x14ac:dyDescent="0.25">
      <c r="D14" s="7"/>
      <c r="E14" s="8"/>
      <c r="F14" s="8"/>
      <c r="G14" s="8"/>
      <c r="H14" s="9"/>
      <c r="I14" s="9"/>
      <c r="J14" s="9"/>
      <c r="K14" s="8"/>
      <c r="L14" s="7">
        <v>46083</v>
      </c>
      <c r="M14" s="36" t="s">
        <v>223</v>
      </c>
      <c r="N14" s="32" t="s">
        <v>224</v>
      </c>
      <c r="O14" s="29">
        <v>1200000</v>
      </c>
      <c r="P14" s="8" t="s">
        <v>13</v>
      </c>
    </row>
    <row r="15" spans="4:16" x14ac:dyDescent="0.25">
      <c r="D15" s="7"/>
      <c r="E15" s="8"/>
      <c r="F15" s="8"/>
      <c r="G15" s="8"/>
      <c r="H15" s="9"/>
      <c r="I15" s="9"/>
      <c r="J15" s="9"/>
      <c r="K15" s="8"/>
      <c r="L15" s="7"/>
      <c r="M15" s="8"/>
      <c r="N15" s="8"/>
      <c r="O15" s="9"/>
      <c r="P15" s="8"/>
    </row>
    <row r="16" spans="4:16" ht="30" x14ac:dyDescent="0.25">
      <c r="D16" s="7"/>
      <c r="E16" s="8"/>
      <c r="F16" s="8"/>
      <c r="G16" s="8"/>
      <c r="H16" s="9"/>
      <c r="I16" s="9"/>
      <c r="J16" s="9"/>
      <c r="K16" s="8"/>
      <c r="L16" s="7">
        <v>46083</v>
      </c>
      <c r="M16" s="20" t="s">
        <v>225</v>
      </c>
      <c r="N16" s="8" t="s">
        <v>226</v>
      </c>
      <c r="O16" s="9">
        <v>1090000</v>
      </c>
      <c r="P16" s="20" t="s">
        <v>227</v>
      </c>
    </row>
    <row r="17" spans="4:16" x14ac:dyDescent="0.25">
      <c r="D17" s="8"/>
      <c r="E17" s="8"/>
      <c r="F17" s="8"/>
      <c r="G17" s="8"/>
      <c r="H17" s="9"/>
      <c r="I17" s="9"/>
      <c r="J17" s="9"/>
      <c r="K17" s="8"/>
      <c r="L17" s="7"/>
      <c r="M17" s="8"/>
      <c r="N17" s="20"/>
      <c r="O17" s="9"/>
      <c r="P17" s="8"/>
    </row>
    <row r="18" spans="4:16" x14ac:dyDescent="0.25">
      <c r="D18" s="8"/>
      <c r="E18" s="8"/>
      <c r="F18" s="8"/>
      <c r="G18" s="8"/>
      <c r="H18" s="9"/>
      <c r="I18" s="9"/>
      <c r="J18" s="9"/>
      <c r="K18" s="8"/>
      <c r="L18" s="7">
        <v>46084</v>
      </c>
      <c r="M18" s="8" t="s">
        <v>232</v>
      </c>
      <c r="N18" s="20" t="s">
        <v>233</v>
      </c>
      <c r="O18" s="9">
        <v>52000</v>
      </c>
      <c r="P18" s="20">
        <v>779915273</v>
      </c>
    </row>
    <row r="19" spans="4:16" x14ac:dyDescent="0.25">
      <c r="D19" s="8"/>
      <c r="E19" s="8"/>
      <c r="F19" s="8"/>
      <c r="G19" s="8"/>
      <c r="H19" s="9"/>
      <c r="I19" s="9"/>
      <c r="J19" s="9"/>
      <c r="K19" s="8"/>
      <c r="L19" s="7"/>
      <c r="M19" s="8"/>
      <c r="N19" s="20"/>
      <c r="O19" s="9"/>
      <c r="P19" s="8"/>
    </row>
    <row r="20" spans="4:16" ht="45" x14ac:dyDescent="0.25">
      <c r="D20" s="8"/>
      <c r="E20" s="8"/>
      <c r="F20" s="8"/>
      <c r="G20" s="8"/>
      <c r="H20" s="9"/>
      <c r="I20" s="9"/>
      <c r="J20" s="9"/>
      <c r="K20" s="8"/>
      <c r="L20" s="7">
        <v>46086</v>
      </c>
      <c r="M20" s="8" t="s">
        <v>234</v>
      </c>
      <c r="N20" s="20" t="s">
        <v>235</v>
      </c>
      <c r="O20" s="9">
        <v>420000</v>
      </c>
      <c r="P20" s="8">
        <v>774112810</v>
      </c>
    </row>
    <row r="21" spans="4:16" x14ac:dyDescent="0.25">
      <c r="D21" s="8"/>
      <c r="E21" s="8"/>
      <c r="F21" s="8"/>
      <c r="G21" s="8"/>
      <c r="H21" s="9"/>
      <c r="I21" s="9"/>
      <c r="J21" s="9"/>
      <c r="K21" s="8"/>
      <c r="L21" s="7"/>
      <c r="M21" s="8"/>
      <c r="N21" s="8"/>
      <c r="O21" s="9"/>
      <c r="P21" s="8"/>
    </row>
    <row r="22" spans="4:16" ht="30" x14ac:dyDescent="0.25">
      <c r="D22" s="8"/>
      <c r="E22" s="8"/>
      <c r="F22" s="8"/>
      <c r="G22" s="8"/>
      <c r="H22" s="9"/>
      <c r="I22" s="9"/>
      <c r="J22" s="9"/>
      <c r="K22" s="8"/>
      <c r="L22" s="7">
        <v>46086</v>
      </c>
      <c r="M22" s="20" t="s">
        <v>236</v>
      </c>
      <c r="N22" s="20" t="s">
        <v>237</v>
      </c>
      <c r="O22" s="9">
        <v>1010000</v>
      </c>
      <c r="P22" s="8">
        <v>702750820</v>
      </c>
    </row>
    <row r="23" spans="4:16" ht="30" x14ac:dyDescent="0.25">
      <c r="D23" s="8"/>
      <c r="E23" s="8"/>
      <c r="F23" s="8"/>
      <c r="G23" s="8"/>
      <c r="H23" s="9"/>
      <c r="I23" s="9"/>
      <c r="J23" s="9"/>
      <c r="K23" s="8"/>
      <c r="L23" s="7"/>
      <c r="M23" s="8" t="s">
        <v>201</v>
      </c>
      <c r="N23" s="20" t="s">
        <v>238</v>
      </c>
      <c r="O23" s="9">
        <v>65000</v>
      </c>
      <c r="P23" s="8" t="s">
        <v>201</v>
      </c>
    </row>
    <row r="24" spans="4:16" x14ac:dyDescent="0.25">
      <c r="D24" s="8"/>
      <c r="E24" s="8"/>
      <c r="F24" s="8"/>
      <c r="G24" s="8"/>
      <c r="H24" s="9"/>
      <c r="I24" s="9"/>
      <c r="J24" s="9"/>
      <c r="K24" s="8"/>
      <c r="L24" s="7"/>
      <c r="M24" s="8"/>
      <c r="N24" s="20"/>
      <c r="O24" s="9"/>
      <c r="P24" s="8"/>
    </row>
    <row r="25" spans="4:16" ht="30" x14ac:dyDescent="0.25">
      <c r="D25" s="8"/>
      <c r="E25" s="8"/>
      <c r="F25" s="8"/>
      <c r="G25" s="8"/>
      <c r="H25" s="9"/>
      <c r="I25" s="9"/>
      <c r="J25" s="9"/>
      <c r="K25" s="8"/>
      <c r="L25" s="7">
        <v>46086</v>
      </c>
      <c r="M25" s="8" t="s">
        <v>239</v>
      </c>
      <c r="N25" s="20" t="s">
        <v>240</v>
      </c>
      <c r="O25" s="9">
        <v>28000</v>
      </c>
      <c r="P25" s="8">
        <v>776312022</v>
      </c>
    </row>
    <row r="26" spans="4:16" x14ac:dyDescent="0.25">
      <c r="D26" s="8"/>
      <c r="E26" s="8"/>
      <c r="F26" s="8"/>
      <c r="G26" s="8"/>
      <c r="H26" s="9"/>
      <c r="I26" s="9"/>
      <c r="J26" s="9"/>
      <c r="K26" s="8"/>
      <c r="L26" s="7"/>
      <c r="M26" s="8"/>
      <c r="N26" s="20"/>
      <c r="O26" s="9"/>
      <c r="P26" s="8"/>
    </row>
    <row r="27" spans="4:16" x14ac:dyDescent="0.25">
      <c r="D27" s="8"/>
      <c r="E27" s="8"/>
      <c r="F27" s="8"/>
      <c r="G27" s="8"/>
      <c r="H27" s="9"/>
      <c r="I27" s="9"/>
      <c r="J27" s="9"/>
      <c r="K27" s="8"/>
      <c r="L27" s="7">
        <v>46086</v>
      </c>
      <c r="M27" s="8" t="s">
        <v>245</v>
      </c>
      <c r="N27" s="20" t="s">
        <v>249</v>
      </c>
      <c r="O27" s="9">
        <v>210000</v>
      </c>
      <c r="P27" s="8" t="s">
        <v>13</v>
      </c>
    </row>
    <row r="28" spans="4:16" x14ac:dyDescent="0.25">
      <c r="D28" s="8"/>
      <c r="E28" s="8"/>
      <c r="F28" s="8"/>
      <c r="G28" s="8"/>
      <c r="H28" s="9"/>
      <c r="I28" s="9"/>
      <c r="J28" s="9"/>
      <c r="K28" s="8"/>
      <c r="L28" s="8"/>
      <c r="M28" s="8"/>
      <c r="N28" s="8"/>
      <c r="O28" s="9"/>
      <c r="P28" s="8"/>
    </row>
    <row r="29" spans="4:16" x14ac:dyDescent="0.25">
      <c r="D29" s="8"/>
      <c r="E29" s="8"/>
      <c r="F29" s="8"/>
      <c r="G29" s="8"/>
      <c r="H29" s="9"/>
      <c r="I29" s="9"/>
      <c r="J29" s="9"/>
      <c r="K29" s="8"/>
      <c r="L29" s="7">
        <v>46087</v>
      </c>
      <c r="M29" s="8" t="s">
        <v>242</v>
      </c>
      <c r="N29" s="20" t="s">
        <v>241</v>
      </c>
      <c r="O29" s="9">
        <v>200000</v>
      </c>
      <c r="P29" s="8">
        <v>700742461</v>
      </c>
    </row>
    <row r="30" spans="4:16" x14ac:dyDescent="0.25">
      <c r="D30" s="8"/>
      <c r="E30" s="8"/>
      <c r="F30" s="8"/>
      <c r="G30" s="8"/>
      <c r="H30" s="9"/>
      <c r="I30" s="9"/>
      <c r="J30" s="9"/>
      <c r="K30" s="8"/>
      <c r="L30" s="8"/>
      <c r="M30" s="8"/>
      <c r="N30" s="20"/>
      <c r="O30" s="9"/>
      <c r="P30" s="8"/>
    </row>
    <row r="31" spans="4:16" x14ac:dyDescent="0.25">
      <c r="D31" s="8"/>
      <c r="E31" s="8"/>
      <c r="F31" s="8"/>
      <c r="G31" s="8"/>
      <c r="H31" s="9"/>
      <c r="I31" s="9"/>
      <c r="J31" s="9"/>
      <c r="K31" s="8"/>
      <c r="L31" s="7">
        <v>46087</v>
      </c>
      <c r="M31" s="8" t="s">
        <v>243</v>
      </c>
      <c r="N31" s="20" t="s">
        <v>244</v>
      </c>
      <c r="O31" s="9">
        <v>125000</v>
      </c>
      <c r="P31" s="8">
        <v>748362660</v>
      </c>
    </row>
    <row r="32" spans="4:16" x14ac:dyDescent="0.25">
      <c r="D32" s="8"/>
      <c r="E32" s="8"/>
      <c r="F32" s="8"/>
      <c r="G32" s="8"/>
      <c r="H32" s="9"/>
      <c r="I32" s="9"/>
      <c r="J32" s="9"/>
      <c r="K32" s="8"/>
      <c r="L32" s="7">
        <v>46087</v>
      </c>
      <c r="M32" s="8" t="s">
        <v>242</v>
      </c>
      <c r="N32" s="8" t="s">
        <v>246</v>
      </c>
      <c r="O32" s="9">
        <v>60000</v>
      </c>
      <c r="P32" s="8">
        <v>700742461</v>
      </c>
    </row>
    <row r="33" spans="4:17" x14ac:dyDescent="0.25">
      <c r="D33" s="8"/>
      <c r="E33" s="8"/>
      <c r="F33" s="8"/>
      <c r="G33" s="8"/>
      <c r="H33" s="9"/>
      <c r="I33" s="9"/>
      <c r="J33" s="9"/>
      <c r="K33" s="8"/>
      <c r="L33" s="7">
        <v>46087</v>
      </c>
      <c r="M33" s="8" t="s">
        <v>247</v>
      </c>
      <c r="N33" s="20" t="s">
        <v>248</v>
      </c>
      <c r="O33" s="9">
        <v>26000</v>
      </c>
      <c r="P33" s="8">
        <v>792505557</v>
      </c>
    </row>
    <row r="34" spans="4:17" x14ac:dyDescent="0.25">
      <c r="D34" s="8"/>
      <c r="E34" s="8"/>
      <c r="F34" s="8"/>
      <c r="G34" s="8"/>
      <c r="H34" s="9"/>
      <c r="I34" s="9"/>
      <c r="J34" s="9"/>
      <c r="K34" s="8"/>
      <c r="L34" s="7"/>
      <c r="M34" s="8"/>
      <c r="N34" s="8"/>
      <c r="O34" s="9"/>
      <c r="P34" s="8"/>
    </row>
    <row r="35" spans="4:17" x14ac:dyDescent="0.25">
      <c r="D35" s="8"/>
      <c r="E35" s="8"/>
      <c r="F35" s="8"/>
      <c r="G35" s="8"/>
      <c r="H35" s="9"/>
      <c r="I35" s="9"/>
      <c r="J35" s="9"/>
      <c r="K35" s="8"/>
      <c r="L35" s="7">
        <v>46089</v>
      </c>
      <c r="M35" s="8" t="s">
        <v>250</v>
      </c>
      <c r="N35" s="8" t="s">
        <v>251</v>
      </c>
      <c r="O35" s="9">
        <v>42000</v>
      </c>
      <c r="P35" s="8">
        <v>779915273</v>
      </c>
    </row>
    <row r="36" spans="4:17" x14ac:dyDescent="0.25">
      <c r="D36" s="8"/>
      <c r="E36" s="8"/>
      <c r="F36" s="8"/>
      <c r="G36" s="8"/>
      <c r="H36" s="9"/>
      <c r="I36" s="9"/>
      <c r="J36" s="9"/>
      <c r="K36" s="8"/>
      <c r="L36" s="7">
        <v>46090</v>
      </c>
      <c r="M36" s="8" t="s">
        <v>140</v>
      </c>
      <c r="N36" s="20" t="s">
        <v>218</v>
      </c>
      <c r="O36" s="9">
        <v>4000</v>
      </c>
      <c r="P36" s="8" t="s">
        <v>13</v>
      </c>
    </row>
    <row r="37" spans="4:17" x14ac:dyDescent="0.25">
      <c r="D37" s="8"/>
      <c r="E37" s="8"/>
      <c r="F37" s="8"/>
      <c r="G37" s="8"/>
      <c r="H37" s="9"/>
      <c r="I37" s="9"/>
      <c r="J37" s="9"/>
      <c r="K37" s="8"/>
      <c r="L37" s="7"/>
      <c r="M37" s="8"/>
      <c r="N37" s="20"/>
      <c r="O37" s="9"/>
      <c r="P37" s="8"/>
    </row>
    <row r="38" spans="4:17" x14ac:dyDescent="0.25">
      <c r="D38" s="8"/>
      <c r="E38" s="8"/>
      <c r="F38" s="8"/>
      <c r="G38" s="8"/>
      <c r="H38" s="9"/>
      <c r="I38" s="9"/>
      <c r="J38" s="9"/>
      <c r="K38" s="8"/>
      <c r="L38" s="7"/>
      <c r="M38" s="20"/>
      <c r="N38" s="20"/>
      <c r="O38" s="9"/>
      <c r="P38" s="8"/>
    </row>
    <row r="39" spans="4:17" x14ac:dyDescent="0.25">
      <c r="D39" s="8"/>
      <c r="E39" s="8"/>
      <c r="F39" s="8"/>
      <c r="G39" s="8"/>
      <c r="H39" s="9"/>
      <c r="I39" s="9"/>
      <c r="J39" s="9"/>
      <c r="K39" s="8"/>
      <c r="L39" s="7"/>
      <c r="M39" s="20"/>
      <c r="N39" s="20"/>
      <c r="O39" s="9"/>
      <c r="P39" s="8"/>
    </row>
    <row r="40" spans="4:17" x14ac:dyDescent="0.25">
      <c r="D40" s="8"/>
      <c r="E40" s="8"/>
      <c r="F40" s="8"/>
      <c r="G40" s="8"/>
      <c r="H40" s="9"/>
      <c r="I40" s="9"/>
      <c r="J40" s="9"/>
      <c r="K40" s="8"/>
      <c r="L40" s="7"/>
      <c r="M40" s="20"/>
      <c r="N40" s="20"/>
      <c r="O40" s="9"/>
      <c r="P40" s="8"/>
    </row>
    <row r="41" spans="4:17" x14ac:dyDescent="0.25">
      <c r="D41" s="8"/>
      <c r="E41" s="8"/>
      <c r="F41" s="8"/>
      <c r="G41" s="8"/>
      <c r="H41" s="9"/>
      <c r="I41" s="9"/>
      <c r="J41" s="9"/>
      <c r="K41" s="8"/>
      <c r="L41" s="7"/>
      <c r="M41" s="20"/>
      <c r="N41" s="20"/>
      <c r="O41" s="9"/>
      <c r="P41" s="8"/>
    </row>
    <row r="42" spans="4:17" x14ac:dyDescent="0.25">
      <c r="D42" s="8"/>
      <c r="E42" s="8"/>
      <c r="F42" s="8"/>
      <c r="G42" s="8"/>
      <c r="H42" s="9"/>
      <c r="I42" s="9"/>
      <c r="J42" s="9"/>
      <c r="K42" s="8"/>
      <c r="L42" s="7"/>
      <c r="M42" s="20"/>
      <c r="N42" s="20"/>
      <c r="O42" s="9"/>
      <c r="P42" s="8"/>
    </row>
    <row r="43" spans="4:17" x14ac:dyDescent="0.25">
      <c r="D43" s="8"/>
      <c r="E43" s="8"/>
      <c r="F43" s="8"/>
      <c r="G43" s="8"/>
      <c r="H43" s="9"/>
      <c r="I43" s="9"/>
      <c r="J43" s="9"/>
      <c r="K43" s="8"/>
      <c r="L43" s="7"/>
      <c r="M43" s="20"/>
      <c r="N43" s="20"/>
      <c r="O43" s="9"/>
      <c r="P43" s="8"/>
    </row>
    <row r="44" spans="4:17" x14ac:dyDescent="0.25">
      <c r="D44" s="8"/>
      <c r="E44" s="8"/>
      <c r="F44" s="8"/>
      <c r="G44" s="8"/>
      <c r="H44" s="9"/>
      <c r="I44" s="9"/>
      <c r="J44" s="9"/>
      <c r="K44" s="8"/>
      <c r="L44" s="7"/>
      <c r="M44" s="20"/>
      <c r="N44" s="20"/>
      <c r="O44" s="9"/>
      <c r="P44" s="8"/>
    </row>
    <row r="45" spans="4:17" x14ac:dyDescent="0.25">
      <c r="D45" s="8"/>
      <c r="E45" s="8"/>
      <c r="F45" s="8"/>
      <c r="G45" s="8"/>
      <c r="H45" s="9"/>
      <c r="I45" s="9"/>
      <c r="J45" s="9"/>
      <c r="K45" s="8"/>
      <c r="L45" s="7"/>
      <c r="M45" s="20"/>
      <c r="N45" s="20"/>
      <c r="O45" s="9"/>
      <c r="P45" s="8"/>
    </row>
    <row r="46" spans="4:17" x14ac:dyDescent="0.25">
      <c r="D46" s="8"/>
      <c r="E46" s="8"/>
      <c r="F46" s="8"/>
      <c r="G46" s="8"/>
      <c r="H46" s="9"/>
      <c r="I46" s="9"/>
      <c r="J46" s="9"/>
      <c r="K46" s="8"/>
      <c r="L46" s="7"/>
      <c r="M46" s="20"/>
      <c r="N46" s="20"/>
      <c r="O46" s="9"/>
      <c r="P46" s="8"/>
      <c r="Q46" t="s">
        <v>252</v>
      </c>
    </row>
    <row r="47" spans="4:17" x14ac:dyDescent="0.25">
      <c r="D47" s="8"/>
      <c r="E47" s="8"/>
      <c r="F47" s="8"/>
      <c r="G47" s="8"/>
      <c r="H47" s="9"/>
      <c r="I47" s="9"/>
      <c r="J47" s="9"/>
      <c r="K47" s="8"/>
      <c r="L47" s="7"/>
      <c r="M47" s="8"/>
      <c r="N47" s="8"/>
      <c r="O47" s="9"/>
      <c r="P47" s="8"/>
    </row>
    <row r="48" spans="4:17" x14ac:dyDescent="0.25">
      <c r="D48" s="3"/>
      <c r="E48" s="3" t="s">
        <v>14</v>
      </c>
      <c r="F48" s="3"/>
      <c r="G48" s="10">
        <f>SUM(G10:G38)</f>
        <v>0</v>
      </c>
      <c r="H48" s="10"/>
      <c r="I48" s="10">
        <f>SUM(I10:I38)</f>
        <v>10132500</v>
      </c>
      <c r="J48" s="10"/>
      <c r="K48" s="10"/>
      <c r="L48" s="10"/>
      <c r="M48" s="3" t="s">
        <v>14</v>
      </c>
      <c r="N48" s="10"/>
      <c r="O48" s="10">
        <f>SUM(O10:O47)</f>
        <v>10122000</v>
      </c>
      <c r="P48" s="3"/>
    </row>
    <row r="49" spans="4:16" x14ac:dyDescent="0.25">
      <c r="D49" s="6"/>
      <c r="E49" s="6"/>
      <c r="F49" s="6"/>
      <c r="G49" s="6"/>
      <c r="H49" s="12"/>
      <c r="I49" s="12"/>
      <c r="J49" s="12"/>
      <c r="K49" s="6"/>
      <c r="L49" s="6"/>
      <c r="M49" s="6"/>
      <c r="N49" s="6"/>
      <c r="O49" s="12"/>
      <c r="P49" s="6"/>
    </row>
    <row r="50" spans="4:16" x14ac:dyDescent="0.25">
      <c r="D50" s="6"/>
      <c r="E50" s="6"/>
      <c r="F50" s="6"/>
      <c r="G50" s="6"/>
      <c r="H50" s="11"/>
      <c r="I50" s="12" t="s">
        <v>13</v>
      </c>
      <c r="J50" s="12"/>
      <c r="K50" s="6"/>
      <c r="L50" s="6"/>
      <c r="M50" s="6"/>
      <c r="N50" s="6"/>
      <c r="O50" s="12"/>
      <c r="P50" s="6"/>
    </row>
    <row r="51" spans="4:16" x14ac:dyDescent="0.25">
      <c r="D51" s="6"/>
      <c r="E51" s="8" t="s">
        <v>15</v>
      </c>
      <c r="F51" s="8" t="s">
        <v>16</v>
      </c>
      <c r="G51" s="8"/>
      <c r="H51" s="13"/>
      <c r="I51" s="9">
        <f>I48</f>
        <v>10132500</v>
      </c>
      <c r="J51" s="12"/>
      <c r="K51" s="6"/>
      <c r="L51" s="6"/>
      <c r="M51" s="6"/>
      <c r="N51" s="6"/>
      <c r="O51" s="12"/>
      <c r="P51" s="6"/>
    </row>
    <row r="52" spans="4:16" ht="15.75" thickBot="1" x14ac:dyDescent="0.3">
      <c r="D52" s="6"/>
      <c r="E52" s="14"/>
      <c r="F52" s="14" t="s">
        <v>17</v>
      </c>
      <c r="G52" s="14"/>
      <c r="H52" s="15"/>
      <c r="I52" s="15">
        <f>O48</f>
        <v>10122000</v>
      </c>
      <c r="J52" s="12"/>
      <c r="K52" s="6"/>
      <c r="L52" s="6"/>
      <c r="M52" s="6"/>
      <c r="N52" s="6"/>
      <c r="O52" s="12"/>
      <c r="P52" s="6"/>
    </row>
    <row r="53" spans="4:16" ht="15.75" thickBot="1" x14ac:dyDescent="0.3">
      <c r="D53" s="6"/>
      <c r="E53" s="16" t="s">
        <v>18</v>
      </c>
      <c r="F53" s="17" t="s">
        <v>19</v>
      </c>
      <c r="G53" s="17"/>
      <c r="H53" s="18"/>
      <c r="I53" s="19">
        <f>I51-I52</f>
        <v>10500</v>
      </c>
      <c r="J53" s="12"/>
      <c r="K53" s="6"/>
      <c r="L53" s="6"/>
      <c r="M53" s="6"/>
      <c r="N53" s="6"/>
      <c r="O53" s="12"/>
      <c r="P53" s="6"/>
    </row>
  </sheetData>
  <mergeCells count="4">
    <mergeCell ref="D6:O6"/>
    <mergeCell ref="D7:O7"/>
    <mergeCell ref="D8:I8"/>
    <mergeCell ref="L8:O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O80"/>
  <sheetViews>
    <sheetView topLeftCell="F64" workbookViewId="0">
      <selection activeCell="J18" sqref="J18"/>
    </sheetView>
  </sheetViews>
  <sheetFormatPr defaultRowHeight="15" x14ac:dyDescent="0.25"/>
  <cols>
    <col min="3" max="3" width="10.140625" bestFit="1" customWidth="1"/>
    <col min="5" max="5" width="20.28515625" bestFit="1" customWidth="1"/>
    <col min="8" max="8" width="11.28515625" bestFit="1" customWidth="1"/>
    <col min="11" max="11" width="10.140625" bestFit="1" customWidth="1"/>
    <col min="12" max="12" width="19.7109375" customWidth="1"/>
    <col min="13" max="13" width="22.140625" bestFit="1" customWidth="1"/>
    <col min="14" max="14" width="11.28515625" bestFit="1" customWidth="1"/>
    <col min="15" max="15" width="10" bestFit="1" customWidth="1"/>
  </cols>
  <sheetData>
    <row r="5" spans="3:15" ht="15.75" x14ac:dyDescent="0.25">
      <c r="C5" s="160" t="s">
        <v>20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2"/>
    </row>
    <row r="6" spans="3:15" ht="15.75" x14ac:dyDescent="0.25">
      <c r="C6" s="160" t="s">
        <v>0</v>
      </c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2"/>
    </row>
    <row r="7" spans="3:15" ht="15.75" x14ac:dyDescent="0.25">
      <c r="C7" s="161" t="s">
        <v>1</v>
      </c>
      <c r="D7" s="161"/>
      <c r="E7" s="161"/>
      <c r="F7" s="161"/>
      <c r="G7" s="161"/>
      <c r="H7" s="161"/>
      <c r="I7" s="39"/>
      <c r="J7" s="39"/>
      <c r="K7" s="161" t="s">
        <v>2</v>
      </c>
      <c r="L7" s="161"/>
      <c r="M7" s="161"/>
      <c r="N7" s="161"/>
      <c r="O7" s="2"/>
    </row>
    <row r="8" spans="3:15" ht="30" x14ac:dyDescent="0.25">
      <c r="C8" s="3" t="s">
        <v>3</v>
      </c>
      <c r="D8" s="3" t="s">
        <v>4</v>
      </c>
      <c r="E8" s="3" t="s">
        <v>5</v>
      </c>
      <c r="F8" s="4" t="s">
        <v>6</v>
      </c>
      <c r="G8" s="5" t="s">
        <v>7</v>
      </c>
      <c r="H8" s="4" t="s">
        <v>8</v>
      </c>
      <c r="I8" s="5" t="s">
        <v>9</v>
      </c>
      <c r="J8" s="3"/>
      <c r="K8" s="3" t="s">
        <v>3</v>
      </c>
      <c r="L8" s="3" t="s">
        <v>10</v>
      </c>
      <c r="M8" s="3" t="s">
        <v>11</v>
      </c>
      <c r="N8" s="4" t="s">
        <v>8</v>
      </c>
      <c r="O8" s="5" t="s">
        <v>9</v>
      </c>
    </row>
    <row r="9" spans="3:15" ht="75" x14ac:dyDescent="0.25">
      <c r="C9" s="7">
        <v>46092</v>
      </c>
      <c r="D9" s="8"/>
      <c r="E9" s="8" t="s">
        <v>219</v>
      </c>
      <c r="F9" s="8"/>
      <c r="G9" s="9"/>
      <c r="H9" s="9">
        <v>10500</v>
      </c>
      <c r="I9" s="9"/>
      <c r="J9" s="8"/>
      <c r="K9" s="7">
        <v>46092</v>
      </c>
      <c r="L9" s="20" t="s">
        <v>260</v>
      </c>
      <c r="M9" s="20" t="s">
        <v>261</v>
      </c>
      <c r="N9" s="9">
        <v>1050000</v>
      </c>
      <c r="O9" s="8" t="s">
        <v>13</v>
      </c>
    </row>
    <row r="10" spans="3:15" ht="45" x14ac:dyDescent="0.25">
      <c r="C10" s="7">
        <v>46092</v>
      </c>
      <c r="D10" s="8" t="s">
        <v>24</v>
      </c>
      <c r="E10" s="20" t="s">
        <v>258</v>
      </c>
      <c r="F10" s="8"/>
      <c r="G10" s="9"/>
      <c r="H10" s="9">
        <v>9000</v>
      </c>
      <c r="I10" s="38"/>
      <c r="J10" s="14"/>
      <c r="K10" s="7">
        <v>46092</v>
      </c>
      <c r="L10" s="20" t="s">
        <v>260</v>
      </c>
      <c r="M10" s="20" t="s">
        <v>262</v>
      </c>
      <c r="N10" s="9">
        <v>10000</v>
      </c>
      <c r="O10" s="8" t="s">
        <v>13</v>
      </c>
    </row>
    <row r="11" spans="3:15" x14ac:dyDescent="0.25">
      <c r="C11" s="7"/>
      <c r="D11" s="36"/>
      <c r="E11" s="36"/>
      <c r="F11" s="8"/>
      <c r="G11" s="9"/>
      <c r="H11" s="9"/>
      <c r="I11" s="36"/>
      <c r="J11" s="8"/>
      <c r="K11" s="7"/>
      <c r="L11" s="20"/>
      <c r="M11" s="20"/>
      <c r="N11" s="9"/>
      <c r="O11" s="8"/>
    </row>
    <row r="12" spans="3:15" ht="30" x14ac:dyDescent="0.25">
      <c r="C12" s="7">
        <v>46092</v>
      </c>
      <c r="D12" s="20" t="s">
        <v>259</v>
      </c>
      <c r="E12" s="8" t="s">
        <v>123</v>
      </c>
      <c r="F12" s="8"/>
      <c r="G12" s="9"/>
      <c r="H12" s="9">
        <f>70000000-1700000</f>
        <v>68300000</v>
      </c>
      <c r="I12" s="9"/>
      <c r="J12" s="8"/>
      <c r="K12" s="7">
        <v>46092</v>
      </c>
      <c r="L12" s="35" t="s">
        <v>263</v>
      </c>
      <c r="M12" s="40" t="s">
        <v>264</v>
      </c>
      <c r="N12" s="9">
        <v>2500000</v>
      </c>
      <c r="O12" s="8">
        <v>700742461</v>
      </c>
    </row>
    <row r="13" spans="3:15" x14ac:dyDescent="0.25">
      <c r="C13" s="7"/>
      <c r="D13" s="8"/>
      <c r="E13" s="8"/>
      <c r="F13" s="8"/>
      <c r="G13" s="9"/>
      <c r="H13" s="9"/>
      <c r="I13" s="9"/>
      <c r="J13" s="8"/>
      <c r="K13" s="7"/>
      <c r="L13" s="36"/>
      <c r="M13" s="32"/>
      <c r="N13" s="29"/>
      <c r="O13" s="8"/>
    </row>
    <row r="14" spans="3:15" ht="45" x14ac:dyDescent="0.25">
      <c r="C14" s="7"/>
      <c r="D14" s="8"/>
      <c r="E14" s="8"/>
      <c r="F14" s="8"/>
      <c r="G14" s="9"/>
      <c r="H14" s="9"/>
      <c r="I14" s="9"/>
      <c r="J14" s="8"/>
      <c r="K14" s="7">
        <v>46092</v>
      </c>
      <c r="L14" s="8" t="s">
        <v>265</v>
      </c>
      <c r="M14" s="20" t="s">
        <v>266</v>
      </c>
      <c r="N14" s="9">
        <v>85000</v>
      </c>
      <c r="O14" s="8">
        <v>700742461</v>
      </c>
    </row>
    <row r="15" spans="3:15" x14ac:dyDescent="0.25">
      <c r="C15" s="7"/>
      <c r="D15" s="8"/>
      <c r="E15" s="8"/>
      <c r="F15" s="8"/>
      <c r="G15" s="9"/>
      <c r="H15" s="9"/>
      <c r="I15" s="9"/>
      <c r="J15" s="8"/>
      <c r="K15" s="7"/>
      <c r="L15" s="20"/>
      <c r="M15" s="8"/>
      <c r="N15" s="9"/>
      <c r="O15" s="20"/>
    </row>
    <row r="16" spans="3:15" ht="45" x14ac:dyDescent="0.25">
      <c r="C16" s="8"/>
      <c r="D16" s="8"/>
      <c r="E16" s="8"/>
      <c r="F16" s="8"/>
      <c r="G16" s="9"/>
      <c r="H16" s="9"/>
      <c r="I16" s="9"/>
      <c r="J16" s="8"/>
      <c r="K16" s="7">
        <v>46092</v>
      </c>
      <c r="L16" s="8" t="s">
        <v>263</v>
      </c>
      <c r="M16" s="20" t="s">
        <v>267</v>
      </c>
      <c r="N16" s="9">
        <v>81000</v>
      </c>
      <c r="O16" s="8">
        <v>700742461</v>
      </c>
    </row>
    <row r="17" spans="3:15" x14ac:dyDescent="0.25">
      <c r="C17" s="8"/>
      <c r="D17" s="8"/>
      <c r="E17" s="8"/>
      <c r="F17" s="8"/>
      <c r="G17" s="9"/>
      <c r="H17" s="9"/>
      <c r="I17" s="9"/>
      <c r="J17" s="8"/>
      <c r="K17" s="7"/>
      <c r="L17" s="8"/>
      <c r="M17" s="20"/>
      <c r="N17" s="9"/>
      <c r="O17" s="20"/>
    </row>
    <row r="18" spans="3:15" ht="60" x14ac:dyDescent="0.25">
      <c r="C18" s="8"/>
      <c r="D18" s="8"/>
      <c r="E18" s="8"/>
      <c r="F18" s="8"/>
      <c r="G18" s="9"/>
      <c r="H18" s="9"/>
      <c r="I18" s="9"/>
      <c r="J18" s="8"/>
      <c r="K18" s="7">
        <v>46092</v>
      </c>
      <c r="L18" s="8" t="s">
        <v>263</v>
      </c>
      <c r="M18" s="20" t="s">
        <v>269</v>
      </c>
      <c r="N18" s="9">
        <v>410000</v>
      </c>
      <c r="O18" s="8">
        <v>700742461</v>
      </c>
    </row>
    <row r="19" spans="3:15" x14ac:dyDescent="0.25">
      <c r="C19" s="8"/>
      <c r="D19" s="8"/>
      <c r="E19" s="8"/>
      <c r="F19" s="8"/>
      <c r="G19" s="9"/>
      <c r="H19" s="9"/>
      <c r="I19" s="9"/>
      <c r="J19" s="8"/>
      <c r="K19" s="7"/>
      <c r="L19" s="8"/>
      <c r="M19" s="20"/>
      <c r="N19" s="9"/>
      <c r="O19" s="8"/>
    </row>
    <row r="20" spans="3:15" ht="45" x14ac:dyDescent="0.25">
      <c r="C20" s="8"/>
      <c r="D20" s="8"/>
      <c r="E20" s="8"/>
      <c r="F20" s="8"/>
      <c r="G20" s="9"/>
      <c r="H20" s="9"/>
      <c r="I20" s="9"/>
      <c r="J20" s="8"/>
      <c r="K20" s="7">
        <v>46092</v>
      </c>
      <c r="L20" s="8" t="s">
        <v>25</v>
      </c>
      <c r="M20" s="20" t="s">
        <v>268</v>
      </c>
      <c r="N20" s="9">
        <v>96300</v>
      </c>
      <c r="O20" s="8">
        <v>754834591</v>
      </c>
    </row>
    <row r="21" spans="3:15" x14ac:dyDescent="0.25">
      <c r="C21" s="8"/>
      <c r="D21" s="8"/>
      <c r="E21" s="8"/>
      <c r="F21" s="8"/>
      <c r="G21" s="9"/>
      <c r="H21" s="9"/>
      <c r="I21" s="9"/>
      <c r="J21" s="8"/>
      <c r="K21" s="7"/>
      <c r="L21" s="20"/>
      <c r="M21" s="20"/>
      <c r="N21" s="9"/>
      <c r="O21" s="8"/>
    </row>
    <row r="22" spans="3:15" ht="30" x14ac:dyDescent="0.25">
      <c r="C22" s="8"/>
      <c r="D22" s="8"/>
      <c r="E22" s="8"/>
      <c r="F22" s="8"/>
      <c r="G22" s="9"/>
      <c r="H22" s="9"/>
      <c r="I22" s="9"/>
      <c r="J22" s="8"/>
      <c r="K22" s="7">
        <v>46092</v>
      </c>
      <c r="L22" s="8" t="s">
        <v>271</v>
      </c>
      <c r="M22" s="20" t="s">
        <v>270</v>
      </c>
      <c r="N22" s="9">
        <v>100000</v>
      </c>
      <c r="O22" s="8">
        <v>768806997</v>
      </c>
    </row>
    <row r="23" spans="3:15" ht="45" x14ac:dyDescent="0.25">
      <c r="C23" s="8"/>
      <c r="D23" s="8"/>
      <c r="E23" s="8"/>
      <c r="F23" s="8"/>
      <c r="G23" s="9"/>
      <c r="H23" s="9"/>
      <c r="I23" s="9"/>
      <c r="J23" s="8"/>
      <c r="K23" s="41" t="s">
        <v>272</v>
      </c>
      <c r="L23" s="8" t="s">
        <v>273</v>
      </c>
      <c r="M23" s="20" t="s">
        <v>274</v>
      </c>
      <c r="N23" s="9">
        <v>150000</v>
      </c>
      <c r="O23" s="8">
        <v>751582413</v>
      </c>
    </row>
    <row r="24" spans="3:15" x14ac:dyDescent="0.25">
      <c r="C24" s="8"/>
      <c r="D24" s="8"/>
      <c r="E24" s="8"/>
      <c r="F24" s="8"/>
      <c r="G24" s="9"/>
      <c r="H24" s="9"/>
      <c r="I24" s="9"/>
      <c r="J24" s="8"/>
      <c r="K24" s="7"/>
      <c r="L24" s="8"/>
      <c r="M24" s="20"/>
      <c r="N24" s="9"/>
      <c r="O24" s="8"/>
    </row>
    <row r="25" spans="3:15" x14ac:dyDescent="0.25">
      <c r="C25" s="8"/>
      <c r="D25" s="8"/>
      <c r="E25" s="8"/>
      <c r="F25" s="8"/>
      <c r="G25" s="9"/>
      <c r="H25" s="9"/>
      <c r="I25" s="9"/>
      <c r="J25" s="8"/>
      <c r="K25" s="7">
        <v>46093</v>
      </c>
      <c r="L25" s="8" t="s">
        <v>24</v>
      </c>
      <c r="M25" s="20" t="s">
        <v>275</v>
      </c>
      <c r="N25" s="9">
        <v>500000</v>
      </c>
      <c r="O25" s="8">
        <v>700742461</v>
      </c>
    </row>
    <row r="26" spans="3:15" ht="30" x14ac:dyDescent="0.25">
      <c r="C26" s="8"/>
      <c r="D26" s="8"/>
      <c r="E26" s="8"/>
      <c r="F26" s="8"/>
      <c r="G26" s="9"/>
      <c r="H26" s="9"/>
      <c r="I26" s="9"/>
      <c r="J26" s="8"/>
      <c r="K26" s="7">
        <v>46093</v>
      </c>
      <c r="L26" s="8" t="s">
        <v>24</v>
      </c>
      <c r="M26" s="20" t="s">
        <v>276</v>
      </c>
      <c r="N26" s="9">
        <v>250000</v>
      </c>
      <c r="O26" s="8">
        <v>700742461</v>
      </c>
    </row>
    <row r="27" spans="3:15" x14ac:dyDescent="0.25">
      <c r="C27" s="8"/>
      <c r="D27" s="8"/>
      <c r="E27" s="8"/>
      <c r="F27" s="8"/>
      <c r="G27" s="9"/>
      <c r="H27" s="9"/>
      <c r="I27" s="9"/>
      <c r="J27" s="8"/>
      <c r="K27" s="8"/>
      <c r="L27" s="8"/>
      <c r="M27" s="8"/>
      <c r="N27" s="9"/>
      <c r="O27" s="8"/>
    </row>
    <row r="28" spans="3:15" ht="30" x14ac:dyDescent="0.25">
      <c r="C28" s="8"/>
      <c r="D28" s="8"/>
      <c r="E28" s="8"/>
      <c r="F28" s="8"/>
      <c r="G28" s="9"/>
      <c r="H28" s="9"/>
      <c r="I28" s="9"/>
      <c r="J28" s="8"/>
      <c r="K28" s="7">
        <v>46093</v>
      </c>
      <c r="L28" s="8" t="s">
        <v>277</v>
      </c>
      <c r="M28" s="20" t="s">
        <v>279</v>
      </c>
      <c r="N28" s="9">
        <v>68000</v>
      </c>
      <c r="O28" s="8">
        <v>792505557</v>
      </c>
    </row>
    <row r="29" spans="3:15" x14ac:dyDescent="0.25">
      <c r="C29" s="8"/>
      <c r="D29" s="8"/>
      <c r="E29" s="8"/>
      <c r="F29" s="8"/>
      <c r="G29" s="9"/>
      <c r="H29" s="9"/>
      <c r="I29" s="9"/>
      <c r="J29" s="8"/>
      <c r="K29" s="8"/>
      <c r="L29" s="8"/>
      <c r="M29" s="20"/>
      <c r="N29" s="9"/>
      <c r="O29" s="8"/>
    </row>
    <row r="30" spans="3:15" x14ac:dyDescent="0.25">
      <c r="C30" s="8"/>
      <c r="D30" s="8"/>
      <c r="E30" s="8"/>
      <c r="F30" s="8"/>
      <c r="G30" s="9"/>
      <c r="H30" s="9"/>
      <c r="I30" s="9"/>
      <c r="J30" s="8"/>
      <c r="K30" s="7">
        <v>46093</v>
      </c>
      <c r="L30" s="8" t="s">
        <v>271</v>
      </c>
      <c r="M30" s="20" t="s">
        <v>278</v>
      </c>
      <c r="N30" s="9">
        <v>1800000</v>
      </c>
      <c r="O30" s="8">
        <v>768806997</v>
      </c>
    </row>
    <row r="31" spans="3:15" ht="30" x14ac:dyDescent="0.25">
      <c r="C31" s="8"/>
      <c r="D31" s="8"/>
      <c r="E31" s="8"/>
      <c r="F31" s="8"/>
      <c r="G31" s="9"/>
      <c r="H31" s="9"/>
      <c r="I31" s="9"/>
      <c r="J31" s="8"/>
      <c r="K31" s="7">
        <v>46093</v>
      </c>
      <c r="L31" s="8" t="s">
        <v>280</v>
      </c>
      <c r="M31" s="20" t="s">
        <v>281</v>
      </c>
      <c r="N31" s="9">
        <v>135000</v>
      </c>
      <c r="O31" s="8">
        <v>751147876</v>
      </c>
    </row>
    <row r="32" spans="3:15" x14ac:dyDescent="0.25">
      <c r="C32" s="8"/>
      <c r="D32" s="8"/>
      <c r="E32" s="8"/>
      <c r="F32" s="8"/>
      <c r="G32" s="9"/>
      <c r="H32" s="9"/>
      <c r="I32" s="9"/>
      <c r="J32" s="8"/>
      <c r="K32" s="7"/>
      <c r="L32" s="8"/>
      <c r="M32" s="20"/>
      <c r="N32" s="9"/>
      <c r="O32" s="8"/>
    </row>
    <row r="33" spans="3:15" ht="30" x14ac:dyDescent="0.25">
      <c r="C33" s="8"/>
      <c r="D33" s="8"/>
      <c r="E33" s="8"/>
      <c r="F33" s="8"/>
      <c r="G33" s="9"/>
      <c r="H33" s="9"/>
      <c r="I33" s="9"/>
      <c r="J33" s="8"/>
      <c r="K33" s="7">
        <v>46093</v>
      </c>
      <c r="L33" s="8" t="s">
        <v>282</v>
      </c>
      <c r="M33" s="20" t="s">
        <v>283</v>
      </c>
      <c r="N33" s="9">
        <v>10000</v>
      </c>
      <c r="O33" s="8">
        <v>792505557</v>
      </c>
    </row>
    <row r="34" spans="3:15" x14ac:dyDescent="0.25">
      <c r="C34" s="8"/>
      <c r="D34" s="8"/>
      <c r="E34" s="8"/>
      <c r="F34" s="8"/>
      <c r="G34" s="9"/>
      <c r="H34" s="9"/>
      <c r="I34" s="9"/>
      <c r="J34" s="8"/>
      <c r="K34" s="7"/>
      <c r="L34" s="8"/>
      <c r="M34" s="8"/>
      <c r="N34" s="9"/>
      <c r="O34" s="8"/>
    </row>
    <row r="35" spans="3:15" ht="60" x14ac:dyDescent="0.25">
      <c r="C35" s="8"/>
      <c r="D35" s="8"/>
      <c r="E35" s="8"/>
      <c r="F35" s="8"/>
      <c r="G35" s="9"/>
      <c r="H35" s="9"/>
      <c r="I35" s="9"/>
      <c r="J35" s="8"/>
      <c r="K35" s="7">
        <v>46093</v>
      </c>
      <c r="L35" s="20" t="s">
        <v>284</v>
      </c>
      <c r="M35" s="20" t="s">
        <v>285</v>
      </c>
      <c r="N35" s="9">
        <v>56000</v>
      </c>
      <c r="O35" s="8">
        <v>776312022</v>
      </c>
    </row>
    <row r="36" spans="3:15" x14ac:dyDescent="0.25">
      <c r="C36" s="8"/>
      <c r="D36" s="8"/>
      <c r="E36" s="8"/>
      <c r="F36" s="8"/>
      <c r="G36" s="9"/>
      <c r="H36" s="9"/>
      <c r="I36" s="9"/>
      <c r="J36" s="8"/>
      <c r="K36" s="7"/>
      <c r="L36" s="8"/>
      <c r="M36" s="20"/>
      <c r="N36" s="9"/>
      <c r="O36" s="8"/>
    </row>
    <row r="37" spans="3:15" ht="45" x14ac:dyDescent="0.25">
      <c r="C37" s="8"/>
      <c r="D37" s="8"/>
      <c r="E37" s="8"/>
      <c r="F37" s="8"/>
      <c r="G37" s="9"/>
      <c r="H37" s="9"/>
      <c r="I37" s="9"/>
      <c r="J37" s="8"/>
      <c r="K37" s="7">
        <v>46094</v>
      </c>
      <c r="L37" s="20" t="s">
        <v>286</v>
      </c>
      <c r="M37" s="20" t="s">
        <v>287</v>
      </c>
      <c r="N37" s="9">
        <v>5000</v>
      </c>
      <c r="O37" s="8" t="s">
        <v>13</v>
      </c>
    </row>
    <row r="38" spans="3:15" x14ac:dyDescent="0.25">
      <c r="C38" s="8"/>
      <c r="D38" s="8"/>
      <c r="E38" s="8"/>
      <c r="F38" s="8"/>
      <c r="G38" s="9"/>
      <c r="H38" s="9"/>
      <c r="I38" s="9"/>
      <c r="J38" s="8"/>
      <c r="K38" s="7"/>
      <c r="L38" s="20"/>
      <c r="M38" s="20"/>
      <c r="N38" s="9"/>
      <c r="O38" s="8"/>
    </row>
    <row r="39" spans="3:15" x14ac:dyDescent="0.25">
      <c r="C39" s="8"/>
      <c r="D39" s="8"/>
      <c r="E39" s="8"/>
      <c r="F39" s="8"/>
      <c r="G39" s="9"/>
      <c r="H39" s="9"/>
      <c r="I39" s="9"/>
      <c r="J39" s="8"/>
      <c r="K39" s="7">
        <v>46094</v>
      </c>
      <c r="L39" s="20" t="s">
        <v>271</v>
      </c>
      <c r="M39" s="20" t="s">
        <v>288</v>
      </c>
      <c r="N39" s="9">
        <v>700000</v>
      </c>
      <c r="O39" s="8">
        <v>768806997</v>
      </c>
    </row>
    <row r="40" spans="3:15" x14ac:dyDescent="0.25">
      <c r="C40" s="8"/>
      <c r="D40" s="8"/>
      <c r="E40" s="8"/>
      <c r="F40" s="8"/>
      <c r="G40" s="9"/>
      <c r="H40" s="9"/>
      <c r="I40" s="9"/>
      <c r="J40" s="8"/>
      <c r="K40" s="7">
        <v>46095</v>
      </c>
      <c r="L40" s="20" t="s">
        <v>271</v>
      </c>
      <c r="M40" s="20" t="s">
        <v>289</v>
      </c>
      <c r="N40" s="9">
        <v>700000</v>
      </c>
      <c r="O40" s="8"/>
    </row>
    <row r="41" spans="3:15" x14ac:dyDescent="0.25">
      <c r="C41" s="8"/>
      <c r="D41" s="8"/>
      <c r="E41" s="8"/>
      <c r="F41" s="8"/>
      <c r="G41" s="9"/>
      <c r="H41" s="9"/>
      <c r="I41" s="9"/>
      <c r="J41" s="8"/>
      <c r="K41" s="7"/>
      <c r="L41" s="20"/>
      <c r="M41" s="20"/>
      <c r="N41" s="9"/>
      <c r="O41" s="8"/>
    </row>
    <row r="42" spans="3:15" x14ac:dyDescent="0.25">
      <c r="C42" s="8"/>
      <c r="D42" s="8"/>
      <c r="E42" s="8"/>
      <c r="F42" s="8"/>
      <c r="G42" s="9"/>
      <c r="H42" s="9"/>
      <c r="I42" s="9"/>
      <c r="J42" s="8"/>
      <c r="K42" s="7">
        <v>46095</v>
      </c>
      <c r="L42" s="20" t="s">
        <v>242</v>
      </c>
      <c r="M42" s="20" t="s">
        <v>241</v>
      </c>
      <c r="N42" s="9">
        <v>200000</v>
      </c>
      <c r="O42" s="8">
        <v>700742461</v>
      </c>
    </row>
    <row r="43" spans="3:15" ht="30" x14ac:dyDescent="0.25">
      <c r="C43" s="8"/>
      <c r="D43" s="8"/>
      <c r="E43" s="8"/>
      <c r="F43" s="8"/>
      <c r="G43" s="9"/>
      <c r="H43" s="9"/>
      <c r="I43" s="9"/>
      <c r="J43" s="8"/>
      <c r="K43" s="7">
        <v>46095</v>
      </c>
      <c r="L43" s="20" t="s">
        <v>290</v>
      </c>
      <c r="M43" s="20" t="s">
        <v>309</v>
      </c>
      <c r="N43" s="9">
        <v>300000</v>
      </c>
      <c r="O43" s="8">
        <v>702936635</v>
      </c>
    </row>
    <row r="44" spans="3:15" ht="45" x14ac:dyDescent="0.25">
      <c r="C44" s="8"/>
      <c r="D44" s="8"/>
      <c r="E44" s="8"/>
      <c r="F44" s="8"/>
      <c r="G44" s="9"/>
      <c r="H44" s="9"/>
      <c r="I44" s="9"/>
      <c r="J44" s="8"/>
      <c r="K44" s="7">
        <v>46095</v>
      </c>
      <c r="L44" s="20" t="s">
        <v>232</v>
      </c>
      <c r="M44" s="20" t="s">
        <v>310</v>
      </c>
      <c r="N44" s="9">
        <v>280000</v>
      </c>
      <c r="O44" s="8">
        <v>779915273</v>
      </c>
    </row>
    <row r="45" spans="3:15" ht="30" x14ac:dyDescent="0.25">
      <c r="C45" s="8"/>
      <c r="D45" s="8"/>
      <c r="E45" s="8"/>
      <c r="F45" s="8"/>
      <c r="G45" s="9"/>
      <c r="H45" s="9"/>
      <c r="I45" s="9"/>
      <c r="J45" s="8"/>
      <c r="K45" s="7">
        <v>46095</v>
      </c>
      <c r="L45" s="20" t="s">
        <v>291</v>
      </c>
      <c r="M45" s="20" t="s">
        <v>292</v>
      </c>
      <c r="N45" s="9">
        <v>155000</v>
      </c>
      <c r="O45" s="8">
        <v>708176370</v>
      </c>
    </row>
    <row r="46" spans="3:15" ht="30" x14ac:dyDescent="0.25">
      <c r="C46" s="8"/>
      <c r="D46" s="8"/>
      <c r="E46" s="8"/>
      <c r="F46" s="8"/>
      <c r="G46" s="9"/>
      <c r="H46" s="9"/>
      <c r="I46" s="9"/>
      <c r="J46" s="8"/>
      <c r="K46" s="7">
        <v>46095</v>
      </c>
      <c r="L46" s="20" t="s">
        <v>138</v>
      </c>
      <c r="M46" s="20" t="s">
        <v>293</v>
      </c>
      <c r="N46" s="9">
        <v>240000</v>
      </c>
      <c r="O46" s="8">
        <v>706926441</v>
      </c>
    </row>
    <row r="47" spans="3:15" ht="30" x14ac:dyDescent="0.25">
      <c r="C47" s="8"/>
      <c r="D47" s="8"/>
      <c r="E47" s="8"/>
      <c r="F47" s="8"/>
      <c r="G47" s="9"/>
      <c r="H47" s="9"/>
      <c r="I47" s="9"/>
      <c r="J47" s="8"/>
      <c r="K47" s="7">
        <v>46096</v>
      </c>
      <c r="L47" s="20" t="s">
        <v>159</v>
      </c>
      <c r="M47" s="20" t="s">
        <v>294</v>
      </c>
      <c r="N47" s="9">
        <v>40000</v>
      </c>
      <c r="O47" s="8">
        <v>745921786</v>
      </c>
    </row>
    <row r="48" spans="3:15" ht="60" x14ac:dyDescent="0.25">
      <c r="C48" s="8"/>
      <c r="D48" s="8"/>
      <c r="E48" s="8"/>
      <c r="F48" s="8"/>
      <c r="G48" s="9"/>
      <c r="H48" s="9"/>
      <c r="I48" s="9"/>
      <c r="J48" s="8"/>
      <c r="K48" s="7"/>
      <c r="L48" s="20"/>
      <c r="M48" s="20" t="s">
        <v>295</v>
      </c>
      <c r="N48" s="9">
        <v>25000</v>
      </c>
      <c r="O48" s="8">
        <v>792505557</v>
      </c>
    </row>
    <row r="49" spans="3:15" x14ac:dyDescent="0.25">
      <c r="C49" s="8"/>
      <c r="D49" s="8"/>
      <c r="E49" s="8"/>
      <c r="F49" s="8"/>
      <c r="G49" s="9"/>
      <c r="H49" s="9"/>
      <c r="I49" s="9"/>
      <c r="J49" s="8"/>
      <c r="K49" s="7"/>
      <c r="L49" s="20"/>
      <c r="M49" s="20"/>
      <c r="N49" s="9"/>
      <c r="O49" s="8"/>
    </row>
    <row r="50" spans="3:15" ht="30" x14ac:dyDescent="0.25">
      <c r="C50" s="8"/>
      <c r="D50" s="8"/>
      <c r="E50" s="8"/>
      <c r="F50" s="8"/>
      <c r="G50" s="9"/>
      <c r="H50" s="9"/>
      <c r="I50" s="9"/>
      <c r="J50" s="8"/>
      <c r="K50" s="7">
        <v>46096</v>
      </c>
      <c r="L50" s="20" t="s">
        <v>296</v>
      </c>
      <c r="M50" s="20" t="s">
        <v>297</v>
      </c>
      <c r="N50" s="9">
        <v>40000000</v>
      </c>
      <c r="O50" s="8" t="s">
        <v>13</v>
      </c>
    </row>
    <row r="51" spans="3:15" ht="30" x14ac:dyDescent="0.25">
      <c r="C51" s="8"/>
      <c r="D51" s="8"/>
      <c r="E51" s="8"/>
      <c r="F51" s="8"/>
      <c r="G51" s="9"/>
      <c r="H51" s="9"/>
      <c r="I51" s="9"/>
      <c r="J51" s="8"/>
      <c r="K51" s="7">
        <v>46096</v>
      </c>
      <c r="L51" s="20" t="s">
        <v>298</v>
      </c>
      <c r="M51" s="20" t="s">
        <v>299</v>
      </c>
      <c r="N51" s="9">
        <v>400000</v>
      </c>
      <c r="O51" s="8" t="s">
        <v>13</v>
      </c>
    </row>
    <row r="52" spans="3:15" ht="30" x14ac:dyDescent="0.25">
      <c r="C52" s="8"/>
      <c r="D52" s="8"/>
      <c r="E52" s="8"/>
      <c r="F52" s="8"/>
      <c r="G52" s="9"/>
      <c r="H52" s="9"/>
      <c r="I52" s="9"/>
      <c r="J52" s="8"/>
      <c r="K52" s="7">
        <v>46096</v>
      </c>
      <c r="L52" s="20" t="s">
        <v>300</v>
      </c>
      <c r="M52" s="20" t="s">
        <v>301</v>
      </c>
      <c r="N52" s="9">
        <v>600000</v>
      </c>
      <c r="O52" s="8" t="s">
        <v>13</v>
      </c>
    </row>
    <row r="53" spans="3:15" x14ac:dyDescent="0.25">
      <c r="C53" s="8"/>
      <c r="D53" s="8"/>
      <c r="E53" s="8"/>
      <c r="F53" s="8"/>
      <c r="G53" s="9"/>
      <c r="H53" s="9"/>
      <c r="I53" s="9"/>
      <c r="J53" s="8"/>
      <c r="K53" s="7">
        <v>46096</v>
      </c>
      <c r="L53" s="20" t="s">
        <v>302</v>
      </c>
      <c r="M53" s="20" t="s">
        <v>303</v>
      </c>
      <c r="N53" s="9">
        <v>300000</v>
      </c>
      <c r="O53" s="8" t="s">
        <v>13</v>
      </c>
    </row>
    <row r="54" spans="3:15" x14ac:dyDescent="0.25">
      <c r="C54" s="8"/>
      <c r="D54" s="8"/>
      <c r="E54" s="8"/>
      <c r="F54" s="8"/>
      <c r="G54" s="9"/>
      <c r="H54" s="9"/>
      <c r="I54" s="9"/>
      <c r="J54" s="8"/>
      <c r="K54" s="7">
        <v>46096</v>
      </c>
      <c r="L54" s="20" t="s">
        <v>304</v>
      </c>
      <c r="M54" s="20" t="s">
        <v>305</v>
      </c>
      <c r="N54" s="9">
        <v>50000</v>
      </c>
      <c r="O54" s="8" t="s">
        <v>13</v>
      </c>
    </row>
    <row r="55" spans="3:15" ht="30" x14ac:dyDescent="0.25">
      <c r="C55" s="8"/>
      <c r="D55" s="8"/>
      <c r="E55" s="8"/>
      <c r="F55" s="8"/>
      <c r="G55" s="9"/>
      <c r="H55" s="9"/>
      <c r="I55" s="9"/>
      <c r="J55" s="8"/>
      <c r="K55" s="7">
        <v>46096</v>
      </c>
      <c r="L55" s="20" t="s">
        <v>95</v>
      </c>
      <c r="M55" s="20" t="s">
        <v>306</v>
      </c>
      <c r="N55" s="9">
        <v>25000</v>
      </c>
      <c r="O55" s="8" t="s">
        <v>13</v>
      </c>
    </row>
    <row r="56" spans="3:15" ht="30" x14ac:dyDescent="0.25">
      <c r="C56" s="8"/>
      <c r="D56" s="8"/>
      <c r="E56" s="8"/>
      <c r="F56" s="8"/>
      <c r="G56" s="9"/>
      <c r="H56" s="9"/>
      <c r="I56" s="9"/>
      <c r="J56" s="8"/>
      <c r="K56" s="7">
        <v>46096</v>
      </c>
      <c r="L56" s="20" t="s">
        <v>308</v>
      </c>
      <c r="M56" s="20" t="s">
        <v>307</v>
      </c>
      <c r="N56" s="9">
        <v>100000</v>
      </c>
      <c r="O56" s="8" t="s">
        <v>13</v>
      </c>
    </row>
    <row r="57" spans="3:15" x14ac:dyDescent="0.25">
      <c r="C57" s="8"/>
      <c r="D57" s="8"/>
      <c r="E57" s="8"/>
      <c r="F57" s="8"/>
      <c r="G57" s="9"/>
      <c r="H57" s="9"/>
      <c r="I57" s="9"/>
      <c r="J57" s="8"/>
      <c r="K57" s="7"/>
      <c r="L57" s="20"/>
      <c r="M57" s="20"/>
      <c r="N57" s="9"/>
      <c r="O57" s="8"/>
    </row>
    <row r="58" spans="3:15" x14ac:dyDescent="0.25">
      <c r="C58" s="8"/>
      <c r="D58" s="8"/>
      <c r="E58" s="8"/>
      <c r="F58" s="8"/>
      <c r="G58" s="9"/>
      <c r="H58" s="9"/>
      <c r="I58" s="9"/>
      <c r="J58" s="8"/>
      <c r="K58" s="7">
        <v>46097</v>
      </c>
      <c r="L58" s="20" t="s">
        <v>271</v>
      </c>
      <c r="M58" s="20" t="s">
        <v>311</v>
      </c>
      <c r="N58" s="9">
        <v>1000000</v>
      </c>
      <c r="O58" s="8">
        <v>768806997</v>
      </c>
    </row>
    <row r="59" spans="3:15" ht="30" x14ac:dyDescent="0.25">
      <c r="C59" s="8"/>
      <c r="D59" s="8"/>
      <c r="E59" s="8"/>
      <c r="F59" s="8"/>
      <c r="G59" s="9"/>
      <c r="H59" s="9"/>
      <c r="I59" s="9"/>
      <c r="J59" s="8"/>
      <c r="K59" s="7">
        <v>46098</v>
      </c>
      <c r="L59" s="20" t="s">
        <v>232</v>
      </c>
      <c r="M59" s="20" t="s">
        <v>312</v>
      </c>
      <c r="N59" s="9">
        <v>50000</v>
      </c>
      <c r="O59" s="8">
        <v>779915273</v>
      </c>
    </row>
    <row r="60" spans="3:15" ht="45" x14ac:dyDescent="0.25">
      <c r="C60" s="8"/>
      <c r="D60" s="8"/>
      <c r="E60" s="8"/>
      <c r="F60" s="8"/>
      <c r="G60" s="9"/>
      <c r="H60" s="9"/>
      <c r="I60" s="9"/>
      <c r="J60" s="8"/>
      <c r="K60" s="7">
        <v>46098</v>
      </c>
      <c r="L60" s="20" t="s">
        <v>313</v>
      </c>
      <c r="M60" s="20" t="s">
        <v>314</v>
      </c>
      <c r="N60" s="9">
        <v>300000</v>
      </c>
      <c r="O60" s="8">
        <v>771396266</v>
      </c>
    </row>
    <row r="61" spans="3:15" x14ac:dyDescent="0.25">
      <c r="C61" s="8"/>
      <c r="D61" s="8"/>
      <c r="E61" s="8"/>
      <c r="F61" s="8"/>
      <c r="G61" s="9"/>
      <c r="H61" s="9"/>
      <c r="I61" s="9"/>
      <c r="J61" s="8"/>
      <c r="K61" s="7"/>
      <c r="L61" s="20"/>
      <c r="M61" s="20"/>
      <c r="N61" s="9"/>
      <c r="O61" s="8"/>
    </row>
    <row r="62" spans="3:15" ht="30" x14ac:dyDescent="0.25">
      <c r="C62" s="8"/>
      <c r="D62" s="8"/>
      <c r="E62" s="8"/>
      <c r="F62" s="8"/>
      <c r="G62" s="9"/>
      <c r="H62" s="9"/>
      <c r="I62" s="9"/>
      <c r="J62" s="8"/>
      <c r="K62" s="7">
        <v>46098</v>
      </c>
      <c r="L62" s="20" t="s">
        <v>315</v>
      </c>
      <c r="M62" s="20" t="s">
        <v>316</v>
      </c>
      <c r="N62" s="9">
        <v>640000</v>
      </c>
      <c r="O62" s="8" t="s">
        <v>13</v>
      </c>
    </row>
    <row r="63" spans="3:15" ht="45" x14ac:dyDescent="0.25">
      <c r="C63" s="8"/>
      <c r="D63" s="8"/>
      <c r="E63" s="8"/>
      <c r="F63" s="8"/>
      <c r="G63" s="9"/>
      <c r="H63" s="9"/>
      <c r="I63" s="9"/>
      <c r="J63" s="8"/>
      <c r="K63" s="7">
        <v>46098</v>
      </c>
      <c r="L63" s="20" t="s">
        <v>317</v>
      </c>
      <c r="M63" s="20" t="s">
        <v>318</v>
      </c>
      <c r="N63" s="9">
        <v>8000000</v>
      </c>
      <c r="O63" s="8" t="s">
        <v>13</v>
      </c>
    </row>
    <row r="64" spans="3:15" x14ac:dyDescent="0.25">
      <c r="C64" s="8"/>
      <c r="D64" s="8"/>
      <c r="E64" s="8"/>
      <c r="F64" s="8"/>
      <c r="G64" s="9"/>
      <c r="H64" s="9"/>
      <c r="I64" s="9"/>
      <c r="J64" s="8"/>
      <c r="K64" s="7"/>
      <c r="L64" s="20"/>
      <c r="M64" s="20"/>
      <c r="N64" s="9"/>
      <c r="O64" s="8"/>
    </row>
    <row r="65" spans="3:15" ht="45" x14ac:dyDescent="0.25">
      <c r="C65" s="8"/>
      <c r="D65" s="8"/>
      <c r="E65" s="8"/>
      <c r="F65" s="8"/>
      <c r="G65" s="9"/>
      <c r="H65" s="9"/>
      <c r="I65" s="9"/>
      <c r="J65" s="8"/>
      <c r="K65" s="7">
        <v>46098</v>
      </c>
      <c r="L65" s="20" t="s">
        <v>232</v>
      </c>
      <c r="M65" s="20" t="s">
        <v>319</v>
      </c>
      <c r="N65" s="9">
        <v>125000</v>
      </c>
      <c r="O65" s="8">
        <v>779915273</v>
      </c>
    </row>
    <row r="66" spans="3:15" x14ac:dyDescent="0.25">
      <c r="C66" s="8"/>
      <c r="D66" s="8"/>
      <c r="E66" s="8"/>
      <c r="F66" s="8"/>
      <c r="G66" s="9"/>
      <c r="H66" s="9"/>
      <c r="I66" s="9"/>
      <c r="J66" s="8"/>
      <c r="K66" s="7"/>
      <c r="L66" s="20"/>
      <c r="M66" s="20"/>
      <c r="N66" s="9"/>
      <c r="O66" s="8"/>
    </row>
    <row r="67" spans="3:15" ht="75" x14ac:dyDescent="0.25">
      <c r="C67" s="8"/>
      <c r="D67" s="8"/>
      <c r="E67" s="8"/>
      <c r="F67" s="8"/>
      <c r="G67" s="9"/>
      <c r="H67" s="9"/>
      <c r="I67" s="9"/>
      <c r="J67" s="8"/>
      <c r="K67" s="7">
        <v>46098</v>
      </c>
      <c r="L67" s="20" t="s">
        <v>320</v>
      </c>
      <c r="M67" s="20" t="s">
        <v>321</v>
      </c>
      <c r="N67" s="9">
        <v>3045000</v>
      </c>
      <c r="O67" s="8">
        <v>772234586</v>
      </c>
    </row>
    <row r="68" spans="3:15" x14ac:dyDescent="0.25">
      <c r="C68" s="8"/>
      <c r="D68" s="8"/>
      <c r="E68" s="8"/>
      <c r="F68" s="8"/>
      <c r="G68" s="9"/>
      <c r="H68" s="9"/>
      <c r="I68" s="9"/>
      <c r="J68" s="8"/>
      <c r="K68" s="7"/>
      <c r="L68" s="20"/>
      <c r="M68" s="20"/>
      <c r="N68" s="9"/>
      <c r="O68" s="8"/>
    </row>
    <row r="69" spans="3:15" ht="90" x14ac:dyDescent="0.25">
      <c r="C69" s="8"/>
      <c r="D69" s="8"/>
      <c r="E69" s="8"/>
      <c r="F69" s="8"/>
      <c r="G69" s="9"/>
      <c r="H69" s="9"/>
      <c r="I69" s="9"/>
      <c r="J69" s="8"/>
      <c r="K69" s="7">
        <v>46099</v>
      </c>
      <c r="L69" s="20" t="s">
        <v>313</v>
      </c>
      <c r="M69" s="20" t="s">
        <v>322</v>
      </c>
      <c r="N69" s="9">
        <v>330000</v>
      </c>
      <c r="O69" s="8">
        <v>771396266</v>
      </c>
    </row>
    <row r="70" spans="3:15" x14ac:dyDescent="0.25">
      <c r="C70" s="8"/>
      <c r="D70" s="8"/>
      <c r="E70" s="8"/>
      <c r="F70" s="8"/>
      <c r="G70" s="9"/>
      <c r="H70" s="9"/>
      <c r="I70" s="9"/>
      <c r="J70" s="8"/>
      <c r="K70" s="7"/>
      <c r="L70" s="20"/>
      <c r="M70" s="20"/>
      <c r="N70" s="9"/>
      <c r="O70" s="8"/>
    </row>
    <row r="71" spans="3:15" x14ac:dyDescent="0.25">
      <c r="C71" s="8"/>
      <c r="D71" s="8"/>
      <c r="E71" s="8"/>
      <c r="F71" s="8"/>
      <c r="G71" s="9"/>
      <c r="H71" s="9"/>
      <c r="I71" s="9"/>
      <c r="J71" s="8"/>
      <c r="K71" s="7"/>
      <c r="L71" s="20"/>
      <c r="M71" s="20"/>
      <c r="N71" s="9"/>
      <c r="O71" s="8"/>
    </row>
    <row r="72" spans="3:15" x14ac:dyDescent="0.25">
      <c r="C72" s="8"/>
      <c r="D72" s="8"/>
      <c r="E72" s="8"/>
      <c r="F72" s="8"/>
      <c r="G72" s="9"/>
      <c r="H72" s="9"/>
      <c r="I72" s="9"/>
      <c r="J72" s="8"/>
      <c r="K72" s="7"/>
      <c r="L72" s="20"/>
      <c r="M72" s="20"/>
      <c r="N72" s="9"/>
      <c r="O72" s="8"/>
    </row>
    <row r="73" spans="3:15" x14ac:dyDescent="0.25">
      <c r="C73" s="8"/>
      <c r="D73" s="8"/>
      <c r="E73" s="8"/>
      <c r="F73" s="8"/>
      <c r="G73" s="9"/>
      <c r="H73" s="9"/>
      <c r="I73" s="9"/>
      <c r="J73" s="8"/>
      <c r="K73" s="7"/>
      <c r="L73" s="20"/>
      <c r="M73" s="8"/>
      <c r="N73" s="9"/>
      <c r="O73" s="8"/>
    </row>
    <row r="74" spans="3:15" x14ac:dyDescent="0.25">
      <c r="C74" s="3"/>
      <c r="D74" s="3" t="s">
        <v>14</v>
      </c>
      <c r="E74" s="3"/>
      <c r="F74" s="10">
        <f>SUM(F9:F37)</f>
        <v>0</v>
      </c>
      <c r="G74" s="10"/>
      <c r="H74" s="10">
        <f>SUM(H9:H37)</f>
        <v>68319500</v>
      </c>
      <c r="I74" s="10"/>
      <c r="J74" s="10"/>
      <c r="K74" s="10"/>
      <c r="L74" s="8"/>
      <c r="M74" s="10"/>
      <c r="N74" s="10">
        <f>SUM(N9:N73)</f>
        <v>64911300</v>
      </c>
      <c r="O74" s="3"/>
    </row>
    <row r="75" spans="3:15" x14ac:dyDescent="0.25">
      <c r="C75" s="6"/>
      <c r="D75" s="6"/>
      <c r="E75" s="6"/>
      <c r="F75" s="6"/>
      <c r="G75" s="12"/>
      <c r="H75" s="12"/>
      <c r="I75" s="12"/>
      <c r="J75" s="6"/>
      <c r="K75" s="6"/>
      <c r="L75" s="3" t="s">
        <v>14</v>
      </c>
      <c r="M75" s="6"/>
      <c r="N75" s="12"/>
      <c r="O75" s="6"/>
    </row>
    <row r="76" spans="3:15" x14ac:dyDescent="0.25">
      <c r="C76" s="6"/>
      <c r="D76" s="6"/>
      <c r="E76" s="6"/>
      <c r="F76" s="6"/>
      <c r="G76" s="11"/>
      <c r="H76" s="12" t="s">
        <v>13</v>
      </c>
      <c r="I76" s="12"/>
      <c r="J76" s="6"/>
      <c r="K76" s="6"/>
      <c r="L76" s="6"/>
      <c r="M76" s="6"/>
      <c r="N76" s="12"/>
      <c r="O76" s="6"/>
    </row>
    <row r="77" spans="3:15" x14ac:dyDescent="0.25">
      <c r="C77" s="6"/>
      <c r="D77" s="8" t="s">
        <v>15</v>
      </c>
      <c r="E77" s="8" t="s">
        <v>16</v>
      </c>
      <c r="F77" s="8"/>
      <c r="G77" s="13"/>
      <c r="H77" s="9">
        <f>H74</f>
        <v>68319500</v>
      </c>
      <c r="I77" s="12"/>
      <c r="J77" s="6"/>
      <c r="K77" s="6"/>
      <c r="L77" s="6"/>
      <c r="M77" s="6"/>
      <c r="N77" s="12"/>
      <c r="O77" s="6"/>
    </row>
    <row r="78" spans="3:15" ht="15.75" thickBot="1" x14ac:dyDescent="0.3">
      <c r="C78" s="6"/>
      <c r="D78" s="14"/>
      <c r="E78" s="14" t="s">
        <v>17</v>
      </c>
      <c r="F78" s="14"/>
      <c r="G78" s="15"/>
      <c r="H78" s="15">
        <f>N74</f>
        <v>64911300</v>
      </c>
      <c r="I78" s="12"/>
      <c r="J78" s="6"/>
      <c r="K78" s="6"/>
      <c r="L78" s="6"/>
      <c r="M78" s="6"/>
      <c r="N78" s="12"/>
      <c r="O78" s="6"/>
    </row>
    <row r="79" spans="3:15" ht="15.75" thickBot="1" x14ac:dyDescent="0.3">
      <c r="C79" s="6"/>
      <c r="D79" s="16" t="s">
        <v>18</v>
      </c>
      <c r="E79" s="17" t="s">
        <v>19</v>
      </c>
      <c r="F79" s="17"/>
      <c r="G79" s="18"/>
      <c r="H79" s="19">
        <f>H77-H78</f>
        <v>3408200</v>
      </c>
      <c r="I79" s="12"/>
      <c r="J79" s="6"/>
      <c r="K79" s="6"/>
      <c r="L79" s="6"/>
      <c r="M79" s="6"/>
      <c r="N79" s="12"/>
      <c r="O79" s="6"/>
    </row>
    <row r="80" spans="3:15" x14ac:dyDescent="0.25">
      <c r="L80" s="6"/>
    </row>
  </sheetData>
  <mergeCells count="4">
    <mergeCell ref="C5:N5"/>
    <mergeCell ref="C6:N6"/>
    <mergeCell ref="C7:H7"/>
    <mergeCell ref="K7:N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83"/>
  <sheetViews>
    <sheetView topLeftCell="F49" workbookViewId="0">
      <selection activeCell="N17" sqref="N17"/>
    </sheetView>
  </sheetViews>
  <sheetFormatPr defaultRowHeight="15" x14ac:dyDescent="0.25"/>
  <cols>
    <col min="2" max="2" width="10.140625" bestFit="1" customWidth="1"/>
    <col min="3" max="3" width="14" customWidth="1"/>
    <col min="4" max="4" width="20.28515625" bestFit="1" customWidth="1"/>
    <col min="7" max="7" width="11.28515625" bestFit="1" customWidth="1"/>
    <col min="10" max="10" width="10.140625" bestFit="1" customWidth="1"/>
    <col min="11" max="11" width="20.85546875" bestFit="1" customWidth="1"/>
    <col min="12" max="12" width="20.42578125" customWidth="1"/>
    <col min="13" max="13" width="11.28515625" bestFit="1" customWidth="1"/>
    <col min="14" max="14" width="10" bestFit="1" customWidth="1"/>
  </cols>
  <sheetData>
    <row r="3" spans="2:14" ht="15.75" x14ac:dyDescent="0.25">
      <c r="B3" s="160" t="s">
        <v>20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2"/>
    </row>
    <row r="4" spans="2:14" ht="15.75" x14ac:dyDescent="0.25">
      <c r="B4" s="160" t="s">
        <v>0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2"/>
    </row>
    <row r="5" spans="2:14" ht="15.75" x14ac:dyDescent="0.25">
      <c r="B5" s="161" t="s">
        <v>1</v>
      </c>
      <c r="C5" s="161"/>
      <c r="D5" s="161"/>
      <c r="E5" s="161"/>
      <c r="F5" s="161"/>
      <c r="G5" s="161"/>
      <c r="H5" s="42"/>
      <c r="I5" s="42"/>
      <c r="J5" s="161" t="s">
        <v>2</v>
      </c>
      <c r="K5" s="161"/>
      <c r="L5" s="161"/>
      <c r="M5" s="161"/>
      <c r="N5" s="2"/>
    </row>
    <row r="6" spans="2:14" ht="30" x14ac:dyDescent="0.25">
      <c r="B6" s="3" t="s">
        <v>3</v>
      </c>
      <c r="C6" s="3" t="s">
        <v>4</v>
      </c>
      <c r="D6" s="3" t="s">
        <v>5</v>
      </c>
      <c r="E6" s="4" t="s">
        <v>6</v>
      </c>
      <c r="F6" s="5" t="s">
        <v>7</v>
      </c>
      <c r="G6" s="4" t="s">
        <v>8</v>
      </c>
      <c r="H6" s="5" t="s">
        <v>9</v>
      </c>
      <c r="I6" s="3"/>
      <c r="J6" s="3" t="s">
        <v>3</v>
      </c>
      <c r="K6" s="3" t="s">
        <v>10</v>
      </c>
      <c r="L6" s="3" t="s">
        <v>11</v>
      </c>
      <c r="M6" s="4" t="s">
        <v>8</v>
      </c>
      <c r="N6" s="5" t="s">
        <v>9</v>
      </c>
    </row>
    <row r="7" spans="2:14" ht="48.75" customHeight="1" x14ac:dyDescent="0.25">
      <c r="B7" s="7">
        <v>46099</v>
      </c>
      <c r="C7" s="20" t="s">
        <v>323</v>
      </c>
      <c r="D7" s="8" t="s">
        <v>123</v>
      </c>
      <c r="E7" s="8"/>
      <c r="F7" s="9"/>
      <c r="G7" s="9">
        <v>20000000</v>
      </c>
      <c r="H7" s="9"/>
      <c r="I7" s="8"/>
      <c r="J7" s="7">
        <v>46099</v>
      </c>
      <c r="K7" s="20" t="s">
        <v>325</v>
      </c>
      <c r="L7" s="20" t="s">
        <v>326</v>
      </c>
      <c r="M7" s="9">
        <v>13000000</v>
      </c>
      <c r="N7" s="8" t="s">
        <v>13</v>
      </c>
    </row>
    <row r="8" spans="2:14" x14ac:dyDescent="0.25">
      <c r="B8" s="7"/>
      <c r="C8" s="8"/>
      <c r="D8" s="20"/>
      <c r="E8" s="8"/>
      <c r="F8" s="9"/>
      <c r="G8" s="9"/>
      <c r="H8" s="38"/>
      <c r="I8" s="14"/>
      <c r="J8" s="7"/>
      <c r="K8" s="20"/>
      <c r="L8" s="20"/>
      <c r="M8" s="9"/>
      <c r="N8" s="8"/>
    </row>
    <row r="9" spans="2:14" ht="37.5" customHeight="1" x14ac:dyDescent="0.25">
      <c r="B9" s="7">
        <v>46099</v>
      </c>
      <c r="C9" s="35" t="s">
        <v>324</v>
      </c>
      <c r="D9" s="36" t="s">
        <v>219</v>
      </c>
      <c r="E9" s="8"/>
      <c r="F9" s="9"/>
      <c r="G9" s="9">
        <v>3408200</v>
      </c>
      <c r="H9" s="36"/>
      <c r="I9" s="8"/>
      <c r="J9" s="7">
        <v>46099</v>
      </c>
      <c r="K9" s="20" t="s">
        <v>327</v>
      </c>
      <c r="L9" s="20" t="s">
        <v>328</v>
      </c>
      <c r="M9" s="9">
        <v>60000</v>
      </c>
      <c r="N9" s="8" t="s">
        <v>13</v>
      </c>
    </row>
    <row r="10" spans="2:14" x14ac:dyDescent="0.25">
      <c r="B10" s="7"/>
      <c r="C10" s="20"/>
      <c r="D10" s="8"/>
      <c r="E10" s="8"/>
      <c r="F10" s="9"/>
      <c r="G10" s="9"/>
      <c r="H10" s="9"/>
      <c r="I10" s="8"/>
      <c r="J10" s="7"/>
      <c r="K10" s="35"/>
      <c r="L10" s="40"/>
      <c r="M10" s="9"/>
      <c r="N10" s="8"/>
    </row>
    <row r="11" spans="2:14" ht="30" x14ac:dyDescent="0.25">
      <c r="B11" s="7"/>
      <c r="C11" s="8"/>
      <c r="D11" s="8"/>
      <c r="E11" s="8"/>
      <c r="F11" s="9"/>
      <c r="G11" s="9"/>
      <c r="H11" s="9"/>
      <c r="I11" s="8"/>
      <c r="J11" s="7">
        <v>46099</v>
      </c>
      <c r="K11" s="36" t="s">
        <v>329</v>
      </c>
      <c r="L11" s="32" t="s">
        <v>330</v>
      </c>
      <c r="M11" s="29">
        <v>14000</v>
      </c>
      <c r="N11" s="8" t="s">
        <v>13</v>
      </c>
    </row>
    <row r="12" spans="2:14" x14ac:dyDescent="0.25">
      <c r="B12" s="7"/>
      <c r="C12" s="8"/>
      <c r="D12" s="8"/>
      <c r="E12" s="8"/>
      <c r="F12" s="9"/>
      <c r="G12" s="9"/>
      <c r="H12" s="9"/>
      <c r="I12" s="8"/>
      <c r="J12" s="7"/>
      <c r="K12" s="8"/>
      <c r="L12" s="20"/>
      <c r="M12" s="9"/>
      <c r="N12" s="8"/>
    </row>
    <row r="13" spans="2:14" x14ac:dyDescent="0.25">
      <c r="B13" s="7"/>
      <c r="C13" s="8"/>
      <c r="D13" s="8"/>
      <c r="E13" s="8"/>
      <c r="F13" s="9"/>
      <c r="G13" s="9"/>
      <c r="H13" s="9"/>
      <c r="I13" s="8"/>
      <c r="J13" s="7">
        <v>46100</v>
      </c>
      <c r="K13" s="20" t="s">
        <v>332</v>
      </c>
      <c r="L13" s="8" t="s">
        <v>331</v>
      </c>
      <c r="M13" s="9">
        <v>400000</v>
      </c>
      <c r="N13" s="20">
        <v>703252602</v>
      </c>
    </row>
    <row r="14" spans="2:14" x14ac:dyDescent="0.25">
      <c r="B14" s="8"/>
      <c r="C14" s="8"/>
      <c r="D14" s="8"/>
      <c r="E14" s="8"/>
      <c r="F14" s="9"/>
      <c r="G14" s="9"/>
      <c r="H14" s="9"/>
      <c r="I14" s="8"/>
      <c r="J14" s="7"/>
      <c r="K14" s="8"/>
      <c r="L14" s="20"/>
      <c r="M14" s="9"/>
      <c r="N14" s="8"/>
    </row>
    <row r="15" spans="2:14" x14ac:dyDescent="0.25">
      <c r="B15" s="8"/>
      <c r="C15" s="8"/>
      <c r="D15" s="8"/>
      <c r="E15" s="8"/>
      <c r="F15" s="9"/>
      <c r="G15" s="9"/>
      <c r="H15" s="9"/>
      <c r="I15" s="8"/>
      <c r="J15" s="7">
        <v>46100</v>
      </c>
      <c r="K15" s="8" t="s">
        <v>333</v>
      </c>
      <c r="L15" s="20" t="s">
        <v>334</v>
      </c>
      <c r="M15" s="9">
        <v>175000</v>
      </c>
      <c r="N15" s="20">
        <v>774594652</v>
      </c>
    </row>
    <row r="16" spans="2:14" x14ac:dyDescent="0.25">
      <c r="B16" s="8"/>
      <c r="C16" s="8"/>
      <c r="D16" s="8"/>
      <c r="E16" s="8"/>
      <c r="F16" s="9"/>
      <c r="G16" s="9"/>
      <c r="H16" s="9"/>
      <c r="I16" s="8"/>
      <c r="J16" s="7"/>
      <c r="K16" s="8"/>
      <c r="L16" s="20"/>
      <c r="M16" s="9"/>
      <c r="N16" s="8"/>
    </row>
    <row r="17" spans="2:14" ht="30" x14ac:dyDescent="0.25">
      <c r="B17" s="8"/>
      <c r="C17" s="8"/>
      <c r="D17" s="8"/>
      <c r="E17" s="8"/>
      <c r="F17" s="9"/>
      <c r="G17" s="9"/>
      <c r="H17" s="9"/>
      <c r="I17" s="8"/>
      <c r="J17" s="7">
        <v>46100</v>
      </c>
      <c r="K17" s="20" t="s">
        <v>335</v>
      </c>
      <c r="L17" s="20" t="s">
        <v>336</v>
      </c>
      <c r="M17" s="9">
        <v>100000</v>
      </c>
      <c r="N17" s="8">
        <v>776312022</v>
      </c>
    </row>
    <row r="18" spans="2:14" x14ac:dyDescent="0.25">
      <c r="B18" s="8"/>
      <c r="C18" s="8"/>
      <c r="D18" s="8"/>
      <c r="E18" s="8"/>
      <c r="F18" s="9"/>
      <c r="G18" s="9"/>
      <c r="H18" s="9"/>
      <c r="I18" s="8"/>
      <c r="J18" s="7"/>
      <c r="K18" s="8"/>
      <c r="L18" s="20"/>
      <c r="M18" s="9"/>
      <c r="N18" s="8"/>
    </row>
    <row r="19" spans="2:14" x14ac:dyDescent="0.25">
      <c r="B19" s="8"/>
      <c r="C19" s="8"/>
      <c r="D19" s="8"/>
      <c r="E19" s="8"/>
      <c r="F19" s="9"/>
      <c r="G19" s="9"/>
      <c r="H19" s="9"/>
      <c r="I19" s="8"/>
      <c r="J19" s="7">
        <v>46100</v>
      </c>
      <c r="K19" s="20" t="s">
        <v>337</v>
      </c>
      <c r="L19" s="20" t="s">
        <v>338</v>
      </c>
      <c r="M19" s="9">
        <v>115000</v>
      </c>
      <c r="N19" s="8">
        <v>756771969</v>
      </c>
    </row>
    <row r="20" spans="2:14" x14ac:dyDescent="0.25">
      <c r="B20" s="8"/>
      <c r="C20" s="8"/>
      <c r="D20" s="8"/>
      <c r="E20" s="8"/>
      <c r="F20" s="9"/>
      <c r="G20" s="9"/>
      <c r="H20" s="9"/>
      <c r="I20" s="8"/>
      <c r="J20" s="7"/>
      <c r="K20" s="8"/>
      <c r="L20" s="20"/>
      <c r="M20" s="9"/>
      <c r="N20" s="8"/>
    </row>
    <row r="21" spans="2:14" ht="45" x14ac:dyDescent="0.25">
      <c r="B21" s="8"/>
      <c r="C21" s="8"/>
      <c r="D21" s="8"/>
      <c r="E21" s="8"/>
      <c r="F21" s="9"/>
      <c r="G21" s="9"/>
      <c r="H21" s="9"/>
      <c r="I21" s="8"/>
      <c r="J21" s="41">
        <v>46100</v>
      </c>
      <c r="K21" s="20" t="s">
        <v>335</v>
      </c>
      <c r="L21" s="20" t="s">
        <v>339</v>
      </c>
      <c r="M21" s="9">
        <v>124000</v>
      </c>
      <c r="N21" s="8">
        <v>776312022</v>
      </c>
    </row>
    <row r="22" spans="2:14" x14ac:dyDescent="0.25">
      <c r="B22" s="8"/>
      <c r="C22" s="8"/>
      <c r="D22" s="8"/>
      <c r="E22" s="8"/>
      <c r="F22" s="9"/>
      <c r="G22" s="9"/>
      <c r="H22" s="9"/>
      <c r="I22" s="8"/>
      <c r="J22" s="7"/>
      <c r="K22" s="8"/>
      <c r="L22" s="20"/>
      <c r="M22" s="9"/>
      <c r="N22" s="8"/>
    </row>
    <row r="23" spans="2:14" ht="51" customHeight="1" x14ac:dyDescent="0.25">
      <c r="B23" s="8"/>
      <c r="C23" s="8"/>
      <c r="D23" s="8"/>
      <c r="E23" s="8"/>
      <c r="F23" s="9"/>
      <c r="G23" s="9"/>
      <c r="H23" s="9"/>
      <c r="I23" s="8"/>
      <c r="J23" s="7">
        <v>46101</v>
      </c>
      <c r="K23" s="8" t="s">
        <v>232</v>
      </c>
      <c r="L23" s="20" t="s">
        <v>354</v>
      </c>
      <c r="M23" s="9">
        <v>295000</v>
      </c>
      <c r="N23" s="8">
        <v>779915273</v>
      </c>
    </row>
    <row r="24" spans="2:14" x14ac:dyDescent="0.25">
      <c r="B24" s="8"/>
      <c r="C24" s="8"/>
      <c r="D24" s="8"/>
      <c r="E24" s="8"/>
      <c r="F24" s="9"/>
      <c r="G24" s="9"/>
      <c r="H24" s="9"/>
      <c r="I24" s="8"/>
      <c r="J24" s="7"/>
      <c r="K24" s="8"/>
      <c r="L24" s="20"/>
      <c r="M24" s="9"/>
      <c r="N24" s="8"/>
    </row>
    <row r="25" spans="2:14" ht="30" x14ac:dyDescent="0.25">
      <c r="B25" s="8"/>
      <c r="C25" s="8"/>
      <c r="D25" s="8"/>
      <c r="E25" s="8"/>
      <c r="F25" s="9"/>
      <c r="G25" s="9"/>
      <c r="H25" s="9"/>
      <c r="I25" s="8"/>
      <c r="J25" s="7">
        <v>46101</v>
      </c>
      <c r="K25" s="8" t="s">
        <v>340</v>
      </c>
      <c r="L25" s="20" t="s">
        <v>341</v>
      </c>
      <c r="M25" s="9">
        <v>50000</v>
      </c>
      <c r="N25" s="8">
        <v>700742461</v>
      </c>
    </row>
    <row r="26" spans="2:14" x14ac:dyDescent="0.25">
      <c r="B26" s="8"/>
      <c r="C26" s="8"/>
      <c r="D26" s="8"/>
      <c r="E26" s="8"/>
      <c r="F26" s="9"/>
      <c r="G26" s="9"/>
      <c r="H26" s="9"/>
      <c r="I26" s="8"/>
      <c r="J26" s="7"/>
      <c r="K26" s="8"/>
      <c r="L26" s="20"/>
      <c r="M26" s="9"/>
      <c r="N26" s="8"/>
    </row>
    <row r="27" spans="2:14" ht="30" x14ac:dyDescent="0.25">
      <c r="B27" s="8"/>
      <c r="C27" s="8"/>
      <c r="D27" s="8"/>
      <c r="E27" s="8"/>
      <c r="F27" s="9"/>
      <c r="G27" s="9"/>
      <c r="H27" s="9"/>
      <c r="I27" s="8"/>
      <c r="J27" s="7">
        <v>46101</v>
      </c>
      <c r="K27" s="20" t="s">
        <v>353</v>
      </c>
      <c r="L27" s="20" t="s">
        <v>342</v>
      </c>
      <c r="M27" s="9">
        <v>103000</v>
      </c>
      <c r="N27" s="8">
        <v>792505557</v>
      </c>
    </row>
    <row r="28" spans="2:14" x14ac:dyDescent="0.25">
      <c r="B28" s="8"/>
      <c r="C28" s="8"/>
      <c r="D28" s="8"/>
      <c r="E28" s="8"/>
      <c r="F28" s="9"/>
      <c r="G28" s="9"/>
      <c r="H28" s="9"/>
      <c r="I28" s="8"/>
      <c r="J28" s="7"/>
      <c r="K28" s="8"/>
      <c r="L28" s="20"/>
      <c r="M28" s="9"/>
      <c r="N28" s="8"/>
    </row>
    <row r="29" spans="2:14" ht="45" x14ac:dyDescent="0.25">
      <c r="B29" s="8"/>
      <c r="C29" s="8"/>
      <c r="D29" s="8"/>
      <c r="E29" s="8"/>
      <c r="F29" s="9"/>
      <c r="G29" s="9"/>
      <c r="H29" s="9"/>
      <c r="I29" s="8"/>
      <c r="J29" s="7">
        <v>46101</v>
      </c>
      <c r="K29" s="8" t="s">
        <v>343</v>
      </c>
      <c r="L29" s="20" t="s">
        <v>344</v>
      </c>
      <c r="M29" s="9">
        <v>53000</v>
      </c>
      <c r="N29" s="8">
        <v>754834591</v>
      </c>
    </row>
    <row r="30" spans="2:14" x14ac:dyDescent="0.25">
      <c r="B30" s="8"/>
      <c r="C30" s="8"/>
      <c r="D30" s="8"/>
      <c r="E30" s="8"/>
      <c r="F30" s="9"/>
      <c r="G30" s="9"/>
      <c r="H30" s="9"/>
      <c r="I30" s="8"/>
      <c r="J30" s="7"/>
      <c r="K30" s="8"/>
      <c r="L30" s="20"/>
      <c r="M30" s="9"/>
      <c r="N30" s="8"/>
    </row>
    <row r="31" spans="2:14" ht="36" customHeight="1" x14ac:dyDescent="0.25">
      <c r="B31" s="8"/>
      <c r="C31" s="8"/>
      <c r="D31" s="8"/>
      <c r="E31" s="8"/>
      <c r="F31" s="9"/>
      <c r="G31" s="9"/>
      <c r="H31" s="9"/>
      <c r="I31" s="8"/>
      <c r="J31" s="7">
        <v>46103</v>
      </c>
      <c r="K31" s="8" t="s">
        <v>345</v>
      </c>
      <c r="L31" s="20" t="s">
        <v>346</v>
      </c>
      <c r="M31" s="9">
        <v>80000</v>
      </c>
      <c r="N31" s="8">
        <v>702750820</v>
      </c>
    </row>
    <row r="32" spans="2:14" x14ac:dyDescent="0.25">
      <c r="B32" s="8"/>
      <c r="C32" s="8"/>
      <c r="D32" s="8"/>
      <c r="E32" s="8"/>
      <c r="F32" s="9"/>
      <c r="G32" s="9"/>
      <c r="H32" s="9"/>
      <c r="I32" s="8"/>
      <c r="J32" s="7"/>
      <c r="K32" s="8"/>
      <c r="L32" s="8"/>
      <c r="M32" s="9"/>
      <c r="N32" s="8"/>
    </row>
    <row r="33" spans="2:14" ht="45" x14ac:dyDescent="0.25">
      <c r="B33" s="8"/>
      <c r="C33" s="8"/>
      <c r="D33" s="8"/>
      <c r="E33" s="8"/>
      <c r="F33" s="9"/>
      <c r="G33" s="9"/>
      <c r="H33" s="9"/>
      <c r="I33" s="8"/>
      <c r="J33" s="7">
        <v>46103</v>
      </c>
      <c r="K33" s="20" t="s">
        <v>347</v>
      </c>
      <c r="L33" s="20" t="s">
        <v>348</v>
      </c>
      <c r="M33" s="9">
        <v>512000</v>
      </c>
      <c r="N33" s="8">
        <v>771396266</v>
      </c>
    </row>
    <row r="34" spans="2:14" x14ac:dyDescent="0.25">
      <c r="B34" s="8"/>
      <c r="C34" s="8"/>
      <c r="D34" s="8"/>
      <c r="E34" s="8"/>
      <c r="F34" s="9"/>
      <c r="G34" s="9"/>
      <c r="H34" s="9"/>
      <c r="I34" s="8"/>
      <c r="J34" s="7"/>
      <c r="K34" s="8"/>
      <c r="L34" s="20"/>
      <c r="M34" s="9"/>
      <c r="N34" s="8"/>
    </row>
    <row r="35" spans="2:14" x14ac:dyDescent="0.25">
      <c r="B35" s="8"/>
      <c r="C35" s="8"/>
      <c r="D35" s="8"/>
      <c r="E35" s="8"/>
      <c r="F35" s="9"/>
      <c r="G35" s="9"/>
      <c r="H35" s="9"/>
      <c r="I35" s="8"/>
      <c r="J35" s="7">
        <v>46103</v>
      </c>
      <c r="K35" s="20" t="s">
        <v>24</v>
      </c>
      <c r="L35" s="20" t="s">
        <v>349</v>
      </c>
      <c r="M35" s="9">
        <v>250000</v>
      </c>
      <c r="N35" s="8">
        <v>700742461</v>
      </c>
    </row>
    <row r="36" spans="2:14" ht="30" x14ac:dyDescent="0.25">
      <c r="B36" s="8"/>
      <c r="C36" s="8"/>
      <c r="D36" s="8"/>
      <c r="E36" s="8"/>
      <c r="F36" s="9"/>
      <c r="G36" s="9"/>
      <c r="H36" s="9"/>
      <c r="I36" s="8"/>
      <c r="J36" s="7"/>
      <c r="K36" s="20"/>
      <c r="L36" s="20" t="s">
        <v>350</v>
      </c>
      <c r="M36" s="9">
        <v>3000</v>
      </c>
      <c r="N36" s="8">
        <v>792505557</v>
      </c>
    </row>
    <row r="37" spans="2:14" x14ac:dyDescent="0.25">
      <c r="B37" s="8"/>
      <c r="C37" s="8"/>
      <c r="D37" s="8"/>
      <c r="E37" s="8"/>
      <c r="F37" s="9"/>
      <c r="G37" s="9"/>
      <c r="H37" s="9"/>
      <c r="I37" s="8"/>
      <c r="J37" s="7"/>
      <c r="K37" s="20"/>
      <c r="L37" s="20"/>
      <c r="M37" s="9"/>
      <c r="N37" s="8"/>
    </row>
    <row r="38" spans="2:14" ht="30" x14ac:dyDescent="0.25">
      <c r="B38" s="8"/>
      <c r="C38" s="8"/>
      <c r="D38" s="8"/>
      <c r="E38" s="8"/>
      <c r="F38" s="9"/>
      <c r="G38" s="9"/>
      <c r="H38" s="9"/>
      <c r="I38" s="8"/>
      <c r="J38" s="7">
        <v>46104</v>
      </c>
      <c r="K38" s="20" t="s">
        <v>351</v>
      </c>
      <c r="L38" s="20" t="s">
        <v>352</v>
      </c>
      <c r="M38" s="9">
        <v>111000</v>
      </c>
      <c r="N38" s="8">
        <v>756692113</v>
      </c>
    </row>
    <row r="39" spans="2:14" x14ac:dyDescent="0.25">
      <c r="B39" s="8"/>
      <c r="C39" s="8"/>
      <c r="D39" s="8"/>
      <c r="E39" s="8"/>
      <c r="F39" s="9"/>
      <c r="G39" s="9"/>
      <c r="H39" s="9"/>
      <c r="I39" s="8"/>
      <c r="J39" s="7"/>
      <c r="K39" s="20"/>
      <c r="L39" s="20"/>
      <c r="M39" s="9"/>
      <c r="N39" s="8"/>
    </row>
    <row r="40" spans="2:14" ht="45" x14ac:dyDescent="0.25">
      <c r="B40" s="8"/>
      <c r="C40" s="8"/>
      <c r="D40" s="8"/>
      <c r="E40" s="8"/>
      <c r="F40" s="9"/>
      <c r="G40" s="9"/>
      <c r="H40" s="9"/>
      <c r="I40" s="8"/>
      <c r="J40" s="7">
        <v>46104</v>
      </c>
      <c r="K40" s="20" t="s">
        <v>355</v>
      </c>
      <c r="L40" s="20" t="s">
        <v>356</v>
      </c>
      <c r="M40" s="9">
        <v>1560000</v>
      </c>
      <c r="N40" s="8">
        <v>757301237</v>
      </c>
    </row>
    <row r="41" spans="2:14" x14ac:dyDescent="0.25">
      <c r="B41" s="8"/>
      <c r="C41" s="8"/>
      <c r="D41" s="8"/>
      <c r="E41" s="8"/>
      <c r="F41" s="9"/>
      <c r="G41" s="9"/>
      <c r="H41" s="9"/>
      <c r="I41" s="8"/>
      <c r="J41" s="7"/>
      <c r="K41" s="20"/>
      <c r="L41" s="20"/>
      <c r="M41" s="9"/>
      <c r="N41" s="8"/>
    </row>
    <row r="42" spans="2:14" x14ac:dyDescent="0.25">
      <c r="B42" s="8"/>
      <c r="C42" s="8"/>
      <c r="D42" s="8"/>
      <c r="E42" s="8"/>
      <c r="F42" s="9"/>
      <c r="G42" s="9"/>
      <c r="H42" s="9"/>
      <c r="I42" s="8"/>
      <c r="J42" s="7">
        <v>46104</v>
      </c>
      <c r="K42" s="20" t="s">
        <v>357</v>
      </c>
      <c r="L42" s="20" t="s">
        <v>358</v>
      </c>
      <c r="M42" s="9">
        <v>460000</v>
      </c>
      <c r="N42" s="8">
        <v>704466430</v>
      </c>
    </row>
    <row r="43" spans="2:14" x14ac:dyDescent="0.25">
      <c r="B43" s="8"/>
      <c r="C43" s="8"/>
      <c r="D43" s="8"/>
      <c r="E43" s="8"/>
      <c r="F43" s="9"/>
      <c r="G43" s="9"/>
      <c r="H43" s="9"/>
      <c r="I43" s="8"/>
      <c r="J43" s="7"/>
      <c r="K43" s="20"/>
      <c r="L43" s="20"/>
      <c r="M43" s="9"/>
      <c r="N43" s="8"/>
    </row>
    <row r="44" spans="2:14" ht="45" x14ac:dyDescent="0.25">
      <c r="B44" s="8"/>
      <c r="C44" s="8"/>
      <c r="D44" s="8"/>
      <c r="E44" s="8"/>
      <c r="F44" s="9"/>
      <c r="G44" s="9"/>
      <c r="H44" s="9"/>
      <c r="I44" s="8"/>
      <c r="J44" s="7">
        <v>46105</v>
      </c>
      <c r="K44" s="20" t="s">
        <v>313</v>
      </c>
      <c r="L44" s="20" t="s">
        <v>359</v>
      </c>
      <c r="M44" s="9">
        <v>307000</v>
      </c>
      <c r="N44" s="8">
        <v>771396266</v>
      </c>
    </row>
    <row r="45" spans="2:14" x14ac:dyDescent="0.25">
      <c r="B45" s="8"/>
      <c r="C45" s="8"/>
      <c r="D45" s="8"/>
      <c r="E45" s="8"/>
      <c r="F45" s="9"/>
      <c r="G45" s="9"/>
      <c r="H45" s="9"/>
      <c r="I45" s="8"/>
      <c r="J45" s="7"/>
      <c r="K45" s="20"/>
      <c r="L45" s="20"/>
      <c r="M45" s="9"/>
      <c r="N45" s="8"/>
    </row>
    <row r="46" spans="2:14" ht="45" x14ac:dyDescent="0.25">
      <c r="B46" s="8"/>
      <c r="C46" s="8"/>
      <c r="D46" s="8"/>
      <c r="E46" s="8"/>
      <c r="F46" s="9"/>
      <c r="G46" s="9"/>
      <c r="H46" s="9"/>
      <c r="I46" s="8"/>
      <c r="J46" s="7">
        <v>46105</v>
      </c>
      <c r="K46" s="20" t="s">
        <v>340</v>
      </c>
      <c r="L46" s="20" t="s">
        <v>360</v>
      </c>
      <c r="M46" s="9">
        <v>100000</v>
      </c>
      <c r="N46" s="8">
        <v>700742461</v>
      </c>
    </row>
    <row r="47" spans="2:14" x14ac:dyDescent="0.25">
      <c r="B47" s="8"/>
      <c r="C47" s="8"/>
      <c r="D47" s="8"/>
      <c r="E47" s="8"/>
      <c r="F47" s="9"/>
      <c r="G47" s="9"/>
      <c r="H47" s="9"/>
      <c r="I47" s="8"/>
      <c r="J47" s="7"/>
      <c r="K47" s="20"/>
      <c r="L47" s="20"/>
      <c r="M47" s="9"/>
      <c r="N47" s="8"/>
    </row>
    <row r="48" spans="2:14" ht="45" x14ac:dyDescent="0.25">
      <c r="B48" s="8"/>
      <c r="C48" s="8"/>
      <c r="D48" s="8"/>
      <c r="E48" s="8"/>
      <c r="F48" s="9"/>
      <c r="G48" s="9"/>
      <c r="H48" s="9"/>
      <c r="I48" s="8"/>
      <c r="J48" s="7">
        <v>46105</v>
      </c>
      <c r="K48" s="20" t="s">
        <v>361</v>
      </c>
      <c r="L48" s="20" t="s">
        <v>362</v>
      </c>
      <c r="M48" s="9">
        <v>83000</v>
      </c>
      <c r="N48" s="8">
        <v>745921786</v>
      </c>
    </row>
    <row r="49" spans="2:14" x14ac:dyDescent="0.25">
      <c r="B49" s="8"/>
      <c r="C49" s="8"/>
      <c r="D49" s="8"/>
      <c r="E49" s="8"/>
      <c r="F49" s="9"/>
      <c r="G49" s="9"/>
      <c r="H49" s="9"/>
      <c r="I49" s="8"/>
      <c r="J49" s="7"/>
      <c r="K49" s="20"/>
      <c r="L49" s="20"/>
      <c r="M49" s="9"/>
      <c r="N49" s="8"/>
    </row>
    <row r="50" spans="2:14" ht="30" x14ac:dyDescent="0.25">
      <c r="B50" s="8"/>
      <c r="C50" s="8"/>
      <c r="D50" s="8"/>
      <c r="E50" s="8"/>
      <c r="F50" s="9"/>
      <c r="G50" s="9"/>
      <c r="H50" s="9"/>
      <c r="I50" s="8"/>
      <c r="J50" s="7">
        <v>46106</v>
      </c>
      <c r="K50" s="20" t="s">
        <v>363</v>
      </c>
      <c r="L50" s="20" t="s">
        <v>364</v>
      </c>
      <c r="M50" s="9">
        <v>2000000</v>
      </c>
      <c r="N50" s="8">
        <v>703453618</v>
      </c>
    </row>
    <row r="51" spans="2:14" x14ac:dyDescent="0.25">
      <c r="B51" s="8"/>
      <c r="C51" s="8"/>
      <c r="D51" s="8"/>
      <c r="E51" s="8"/>
      <c r="F51" s="9"/>
      <c r="G51" s="9"/>
      <c r="H51" s="9"/>
      <c r="I51" s="8"/>
      <c r="J51" s="7"/>
      <c r="K51" s="20"/>
      <c r="L51" s="20"/>
      <c r="M51" s="9"/>
      <c r="N51" s="8"/>
    </row>
    <row r="52" spans="2:14" x14ac:dyDescent="0.25">
      <c r="B52" s="8"/>
      <c r="C52" s="8"/>
      <c r="D52" s="8"/>
      <c r="E52" s="8"/>
      <c r="F52" s="9"/>
      <c r="G52" s="9"/>
      <c r="H52" s="9"/>
      <c r="I52" s="8"/>
      <c r="J52" s="7">
        <v>46106</v>
      </c>
      <c r="K52" s="20" t="s">
        <v>372</v>
      </c>
      <c r="L52" s="20" t="s">
        <v>373</v>
      </c>
      <c r="M52" s="9">
        <v>25000</v>
      </c>
      <c r="N52" s="8">
        <v>703453618</v>
      </c>
    </row>
    <row r="53" spans="2:14" x14ac:dyDescent="0.25">
      <c r="B53" s="8"/>
      <c r="C53" s="8"/>
      <c r="D53" s="8"/>
      <c r="E53" s="8"/>
      <c r="F53" s="9"/>
      <c r="G53" s="9"/>
      <c r="H53" s="9"/>
      <c r="I53" s="8"/>
      <c r="J53" s="7"/>
      <c r="K53" s="20"/>
      <c r="L53" s="20"/>
      <c r="M53" s="9"/>
      <c r="N53" s="8"/>
    </row>
    <row r="54" spans="2:14" x14ac:dyDescent="0.25">
      <c r="B54" s="8"/>
      <c r="C54" s="8"/>
      <c r="D54" s="8"/>
      <c r="E54" s="8"/>
      <c r="F54" s="9"/>
      <c r="G54" s="9"/>
      <c r="H54" s="9"/>
      <c r="I54" s="8"/>
      <c r="J54" s="7">
        <v>46106</v>
      </c>
      <c r="K54" s="20" t="s">
        <v>366</v>
      </c>
      <c r="L54" s="20" t="s">
        <v>367</v>
      </c>
      <c r="M54" s="9">
        <v>275000</v>
      </c>
      <c r="N54" s="8">
        <v>752399990</v>
      </c>
    </row>
    <row r="55" spans="2:14" x14ac:dyDescent="0.25">
      <c r="B55" s="8"/>
      <c r="C55" s="8"/>
      <c r="D55" s="8"/>
      <c r="E55" s="8"/>
      <c r="F55" s="9"/>
      <c r="G55" s="9"/>
      <c r="H55" s="9"/>
      <c r="I55" s="8"/>
      <c r="J55" s="7">
        <v>46106</v>
      </c>
      <c r="K55" s="20" t="s">
        <v>368</v>
      </c>
      <c r="L55" s="20" t="s">
        <v>369</v>
      </c>
      <c r="M55" s="9">
        <v>250000</v>
      </c>
      <c r="N55" s="8">
        <v>778344577</v>
      </c>
    </row>
    <row r="56" spans="2:14" x14ac:dyDescent="0.25">
      <c r="B56" s="8"/>
      <c r="C56" s="8"/>
      <c r="D56" s="8"/>
      <c r="E56" s="8"/>
      <c r="F56" s="9"/>
      <c r="G56" s="9"/>
      <c r="H56" s="9"/>
      <c r="I56" s="8"/>
      <c r="J56" s="7">
        <v>46106</v>
      </c>
      <c r="K56" s="20" t="s">
        <v>370</v>
      </c>
      <c r="L56" s="20" t="s">
        <v>371</v>
      </c>
      <c r="M56" s="9">
        <v>100000</v>
      </c>
      <c r="N56" s="8">
        <v>783734318</v>
      </c>
    </row>
    <row r="57" spans="2:14" ht="45" x14ac:dyDescent="0.25">
      <c r="B57" s="8"/>
      <c r="C57" s="8"/>
      <c r="D57" s="8"/>
      <c r="E57" s="8"/>
      <c r="F57" s="9"/>
      <c r="G57" s="9"/>
      <c r="H57" s="9"/>
      <c r="I57" s="8"/>
      <c r="J57" s="7">
        <v>46107</v>
      </c>
      <c r="K57" s="20" t="s">
        <v>232</v>
      </c>
      <c r="L57" s="20" t="s">
        <v>365</v>
      </c>
      <c r="M57" s="9">
        <v>170000</v>
      </c>
      <c r="N57" s="8">
        <v>779915273</v>
      </c>
    </row>
    <row r="58" spans="2:14" x14ac:dyDescent="0.25">
      <c r="B58" s="8"/>
      <c r="C58" s="8"/>
      <c r="D58" s="8"/>
      <c r="E58" s="8"/>
      <c r="F58" s="9"/>
      <c r="G58" s="9"/>
      <c r="H58" s="9"/>
      <c r="I58" s="8"/>
      <c r="J58" s="7"/>
      <c r="K58" s="20"/>
      <c r="L58" s="20"/>
      <c r="M58" s="9"/>
      <c r="N58" s="8"/>
    </row>
    <row r="59" spans="2:14" x14ac:dyDescent="0.25">
      <c r="B59" s="8"/>
      <c r="C59" s="8"/>
      <c r="D59" s="8"/>
      <c r="E59" s="8"/>
      <c r="F59" s="9"/>
      <c r="G59" s="9"/>
      <c r="H59" s="9"/>
      <c r="I59" s="8"/>
      <c r="J59" s="7">
        <v>46107</v>
      </c>
      <c r="K59" s="20" t="s">
        <v>140</v>
      </c>
      <c r="L59" s="20" t="s">
        <v>374</v>
      </c>
      <c r="M59" s="9">
        <v>580000</v>
      </c>
      <c r="N59" s="8" t="s">
        <v>13</v>
      </c>
    </row>
    <row r="60" spans="2:14" ht="30" x14ac:dyDescent="0.25">
      <c r="B60" s="8"/>
      <c r="C60" s="8"/>
      <c r="D60" s="8"/>
      <c r="E60" s="8"/>
      <c r="F60" s="9"/>
      <c r="G60" s="9"/>
      <c r="H60" s="9"/>
      <c r="I60" s="8"/>
      <c r="J60" s="7">
        <v>46109</v>
      </c>
      <c r="K60" s="20" t="s">
        <v>376</v>
      </c>
      <c r="L60" s="20" t="s">
        <v>375</v>
      </c>
      <c r="M60" s="9">
        <v>110000</v>
      </c>
      <c r="N60" s="8">
        <v>702750820</v>
      </c>
    </row>
    <row r="61" spans="2:14" x14ac:dyDescent="0.25">
      <c r="B61" s="8"/>
      <c r="C61" s="8"/>
      <c r="D61" s="8"/>
      <c r="E61" s="8"/>
      <c r="F61" s="9"/>
      <c r="G61" s="9"/>
      <c r="H61" s="9"/>
      <c r="I61" s="8"/>
      <c r="J61" s="7"/>
      <c r="K61" s="20"/>
      <c r="L61" s="20"/>
      <c r="M61" s="9"/>
      <c r="N61" s="8"/>
    </row>
    <row r="62" spans="2:14" x14ac:dyDescent="0.25">
      <c r="B62" s="8"/>
      <c r="C62" s="8"/>
      <c r="D62" s="8"/>
      <c r="E62" s="8"/>
      <c r="F62" s="9"/>
      <c r="G62" s="9"/>
      <c r="H62" s="9"/>
      <c r="I62" s="8"/>
      <c r="J62" s="7">
        <v>46109</v>
      </c>
      <c r="K62" s="20" t="s">
        <v>230</v>
      </c>
      <c r="L62" s="20" t="s">
        <v>377</v>
      </c>
      <c r="M62" s="9">
        <v>26000</v>
      </c>
      <c r="N62" s="8">
        <v>792505557</v>
      </c>
    </row>
    <row r="63" spans="2:14" x14ac:dyDescent="0.25">
      <c r="B63" s="8"/>
      <c r="C63" s="8"/>
      <c r="D63" s="8"/>
      <c r="E63" s="8"/>
      <c r="F63" s="9"/>
      <c r="G63" s="9"/>
      <c r="H63" s="9"/>
      <c r="I63" s="8"/>
      <c r="J63" s="7"/>
      <c r="K63" s="20"/>
      <c r="L63" s="20"/>
      <c r="M63" s="9"/>
      <c r="N63" s="8"/>
    </row>
    <row r="64" spans="2:14" ht="45" x14ac:dyDescent="0.25">
      <c r="B64" s="8"/>
      <c r="C64" s="8"/>
      <c r="D64" s="8"/>
      <c r="E64" s="8"/>
      <c r="F64" s="9"/>
      <c r="G64" s="9"/>
      <c r="H64" s="9"/>
      <c r="I64" s="8"/>
      <c r="J64" s="7">
        <v>46110</v>
      </c>
      <c r="K64" s="20" t="s">
        <v>313</v>
      </c>
      <c r="L64" s="20" t="s">
        <v>378</v>
      </c>
      <c r="M64" s="9">
        <v>308000</v>
      </c>
      <c r="N64" s="8">
        <v>771396266</v>
      </c>
    </row>
    <row r="65" spans="2:14" x14ac:dyDescent="0.25">
      <c r="B65" s="8"/>
      <c r="C65" s="8"/>
      <c r="D65" s="8"/>
      <c r="E65" s="8"/>
      <c r="F65" s="9"/>
      <c r="G65" s="9"/>
      <c r="H65" s="9"/>
      <c r="I65" s="8"/>
      <c r="J65" s="7"/>
      <c r="K65" s="20"/>
      <c r="L65" s="20"/>
      <c r="M65" s="9"/>
      <c r="N65" s="8"/>
    </row>
    <row r="66" spans="2:14" ht="45" x14ac:dyDescent="0.25">
      <c r="B66" s="8"/>
      <c r="C66" s="8"/>
      <c r="D66" s="8"/>
      <c r="E66" s="8"/>
      <c r="F66" s="9"/>
      <c r="G66" s="9"/>
      <c r="H66" s="9"/>
      <c r="I66" s="8"/>
      <c r="J66" s="7">
        <v>46110</v>
      </c>
      <c r="K66" s="20" t="s">
        <v>242</v>
      </c>
      <c r="L66" s="20" t="s">
        <v>379</v>
      </c>
      <c r="M66" s="9">
        <v>51000</v>
      </c>
      <c r="N66" s="8">
        <v>700742461</v>
      </c>
    </row>
    <row r="67" spans="2:14" x14ac:dyDescent="0.25">
      <c r="B67" s="8"/>
      <c r="C67" s="8"/>
      <c r="D67" s="8"/>
      <c r="E67" s="8"/>
      <c r="F67" s="9"/>
      <c r="G67" s="9"/>
      <c r="H67" s="9"/>
      <c r="I67" s="8"/>
      <c r="J67" s="7"/>
      <c r="K67" s="20"/>
      <c r="L67" s="20"/>
      <c r="M67" s="9"/>
      <c r="N67" s="8"/>
    </row>
    <row r="68" spans="2:14" ht="30" x14ac:dyDescent="0.25">
      <c r="B68" s="8"/>
      <c r="C68" s="8"/>
      <c r="D68" s="8"/>
      <c r="E68" s="8"/>
      <c r="F68" s="9"/>
      <c r="G68" s="9"/>
      <c r="H68" s="9"/>
      <c r="I68" s="8"/>
      <c r="J68" s="7">
        <v>46111</v>
      </c>
      <c r="K68" s="20" t="s">
        <v>380</v>
      </c>
      <c r="L68" s="20" t="s">
        <v>381</v>
      </c>
      <c r="M68" s="9">
        <v>100000</v>
      </c>
      <c r="N68" s="20" t="s">
        <v>382</v>
      </c>
    </row>
    <row r="69" spans="2:14" x14ac:dyDescent="0.25">
      <c r="B69" s="8"/>
      <c r="C69" s="8"/>
      <c r="D69" s="8"/>
      <c r="E69" s="8"/>
      <c r="F69" s="9"/>
      <c r="G69" s="9"/>
      <c r="H69" s="9"/>
      <c r="I69" s="8"/>
      <c r="J69" s="7"/>
      <c r="K69" s="20"/>
      <c r="L69" s="20"/>
      <c r="M69" s="9"/>
      <c r="N69" s="8"/>
    </row>
    <row r="70" spans="2:14" x14ac:dyDescent="0.25">
      <c r="B70" s="8"/>
      <c r="C70" s="8"/>
      <c r="D70" s="8"/>
      <c r="E70" s="8"/>
      <c r="F70" s="9"/>
      <c r="G70" s="9"/>
      <c r="H70" s="9"/>
      <c r="I70" s="8"/>
      <c r="J70" s="7">
        <v>46111</v>
      </c>
      <c r="K70" s="20" t="s">
        <v>383</v>
      </c>
      <c r="L70" s="20" t="s">
        <v>374</v>
      </c>
      <c r="M70" s="9">
        <v>580000</v>
      </c>
      <c r="N70" s="8" t="s">
        <v>13</v>
      </c>
    </row>
    <row r="71" spans="2:14" x14ac:dyDescent="0.25">
      <c r="B71" s="8"/>
      <c r="C71" s="8"/>
      <c r="D71" s="8"/>
      <c r="E71" s="8"/>
      <c r="F71" s="9"/>
      <c r="G71" s="9"/>
      <c r="H71" s="9"/>
      <c r="I71" s="8"/>
      <c r="J71" s="7">
        <v>46112</v>
      </c>
      <c r="K71" s="20" t="s">
        <v>385</v>
      </c>
      <c r="L71" s="20" t="s">
        <v>374</v>
      </c>
      <c r="M71" s="9">
        <v>300000</v>
      </c>
      <c r="N71" s="8" t="s">
        <v>13</v>
      </c>
    </row>
    <row r="72" spans="2:14" ht="45" x14ac:dyDescent="0.25">
      <c r="B72" s="8"/>
      <c r="C72" s="8"/>
      <c r="D72" s="8"/>
      <c r="E72" s="8"/>
      <c r="F72" s="9"/>
      <c r="G72" s="9"/>
      <c r="H72" s="9"/>
      <c r="I72" s="8"/>
      <c r="J72" s="7">
        <v>46113</v>
      </c>
      <c r="K72" s="20" t="s">
        <v>386</v>
      </c>
      <c r="L72" s="20" t="s">
        <v>384</v>
      </c>
      <c r="M72" s="9">
        <v>62000</v>
      </c>
      <c r="N72" s="8">
        <v>776312022</v>
      </c>
    </row>
    <row r="73" spans="2:14" x14ac:dyDescent="0.25">
      <c r="B73" s="8"/>
      <c r="C73" s="8"/>
      <c r="D73" s="8"/>
      <c r="E73" s="8"/>
      <c r="F73" s="9"/>
      <c r="G73" s="9"/>
      <c r="H73" s="9"/>
      <c r="I73" s="8"/>
      <c r="J73" s="7"/>
      <c r="K73" s="20"/>
      <c r="L73" s="20"/>
      <c r="M73" s="9"/>
      <c r="N73" s="8"/>
    </row>
    <row r="74" spans="2:14" x14ac:dyDescent="0.25">
      <c r="B74" s="8"/>
      <c r="C74" s="8"/>
      <c r="D74" s="8"/>
      <c r="E74" s="8"/>
      <c r="F74" s="9"/>
      <c r="G74" s="9"/>
      <c r="H74" s="9"/>
      <c r="I74" s="8"/>
      <c r="J74" s="7"/>
      <c r="K74" s="20"/>
      <c r="L74" s="20"/>
      <c r="M74" s="9"/>
      <c r="N74" s="8"/>
    </row>
    <row r="75" spans="2:14" x14ac:dyDescent="0.25">
      <c r="B75" s="8"/>
      <c r="C75" s="8"/>
      <c r="D75" s="8"/>
      <c r="E75" s="8"/>
      <c r="F75" s="9"/>
      <c r="G75" s="9"/>
      <c r="H75" s="9"/>
      <c r="I75" s="8"/>
      <c r="J75" s="7"/>
      <c r="K75" s="20"/>
      <c r="L75" s="20"/>
      <c r="M75" s="9"/>
      <c r="N75" s="8"/>
    </row>
    <row r="76" spans="2:14" x14ac:dyDescent="0.25">
      <c r="B76" s="8"/>
      <c r="C76" s="8"/>
      <c r="D76" s="8"/>
      <c r="E76" s="8"/>
      <c r="F76" s="9"/>
      <c r="G76" s="9"/>
      <c r="H76" s="9"/>
      <c r="I76" s="8"/>
      <c r="J76" s="7"/>
      <c r="K76" s="20"/>
      <c r="L76" s="8"/>
      <c r="M76" s="9"/>
      <c r="N76" s="8"/>
    </row>
    <row r="77" spans="2:14" x14ac:dyDescent="0.25">
      <c r="B77" s="3"/>
      <c r="C77" s="3" t="s">
        <v>14</v>
      </c>
      <c r="D77" s="3"/>
      <c r="E77" s="10">
        <f>SUM(E7:E35)</f>
        <v>0</v>
      </c>
      <c r="F77" s="10"/>
      <c r="G77" s="10">
        <f>SUM(G7:G35)</f>
        <v>23408200</v>
      </c>
      <c r="H77" s="10"/>
      <c r="I77" s="10"/>
      <c r="J77" s="10"/>
      <c r="K77" s="8"/>
      <c r="L77" s="10"/>
      <c r="M77" s="10">
        <f>SUM(M7:M76)</f>
        <v>22892000</v>
      </c>
      <c r="N77" s="3"/>
    </row>
    <row r="78" spans="2:14" x14ac:dyDescent="0.25">
      <c r="B78" s="6"/>
      <c r="C78" s="6"/>
      <c r="D78" s="6"/>
      <c r="E78" s="6"/>
      <c r="F78" s="12"/>
      <c r="G78" s="12"/>
      <c r="H78" s="12"/>
      <c r="I78" s="6"/>
      <c r="J78" s="6"/>
      <c r="K78" s="3" t="s">
        <v>14</v>
      </c>
      <c r="L78" s="6"/>
      <c r="M78" s="12"/>
      <c r="N78" s="6"/>
    </row>
    <row r="79" spans="2:14" x14ac:dyDescent="0.25">
      <c r="B79" s="6"/>
      <c r="C79" s="6"/>
      <c r="D79" s="6"/>
      <c r="E79" s="6"/>
      <c r="F79" s="11"/>
      <c r="G79" s="12" t="s">
        <v>13</v>
      </c>
      <c r="H79" s="12"/>
      <c r="I79" s="6"/>
      <c r="J79" s="6"/>
      <c r="K79" s="6"/>
      <c r="L79" s="6"/>
      <c r="M79" s="12"/>
      <c r="N79" s="6"/>
    </row>
    <row r="80" spans="2:14" ht="18.75" customHeight="1" x14ac:dyDescent="0.25">
      <c r="B80" s="6"/>
      <c r="C80" s="8" t="s">
        <v>15</v>
      </c>
      <c r="D80" s="8" t="s">
        <v>16</v>
      </c>
      <c r="E80" s="8"/>
      <c r="F80" s="13"/>
      <c r="G80" s="9">
        <f>G77</f>
        <v>23408200</v>
      </c>
      <c r="H80" s="12"/>
      <c r="I80" s="6"/>
      <c r="J80" s="6"/>
      <c r="K80" s="6"/>
      <c r="L80" s="6"/>
      <c r="M80" s="12"/>
      <c r="N80" s="6"/>
    </row>
    <row r="81" spans="2:14" ht="15.75" thickBot="1" x14ac:dyDescent="0.3">
      <c r="B81" s="6"/>
      <c r="C81" s="14"/>
      <c r="D81" s="14" t="s">
        <v>17</v>
      </c>
      <c r="E81" s="14"/>
      <c r="F81" s="15"/>
      <c r="G81" s="15">
        <f>M77</f>
        <v>22892000</v>
      </c>
      <c r="H81" s="12"/>
      <c r="I81" s="6"/>
      <c r="J81" s="6"/>
      <c r="K81" s="6"/>
      <c r="L81" s="6"/>
      <c r="M81" s="12"/>
      <c r="N81" s="6"/>
    </row>
    <row r="82" spans="2:14" ht="15.75" thickBot="1" x14ac:dyDescent="0.3">
      <c r="B82" s="6"/>
      <c r="C82" s="16" t="s">
        <v>18</v>
      </c>
      <c r="D82" s="17" t="s">
        <v>19</v>
      </c>
      <c r="E82" s="17"/>
      <c r="F82" s="18"/>
      <c r="G82" s="19">
        <f>G80-G81</f>
        <v>516200</v>
      </c>
      <c r="H82" s="12"/>
      <c r="I82" s="6"/>
      <c r="J82" s="6"/>
      <c r="K82" s="6"/>
      <c r="L82" s="6"/>
      <c r="M82" s="12"/>
      <c r="N82" s="6"/>
    </row>
    <row r="83" spans="2:14" x14ac:dyDescent="0.25">
      <c r="K83" s="6"/>
    </row>
  </sheetData>
  <mergeCells count="4">
    <mergeCell ref="B4:M4"/>
    <mergeCell ref="B3:M3"/>
    <mergeCell ref="B5:G5"/>
    <mergeCell ref="J5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86"/>
  <sheetViews>
    <sheetView topLeftCell="E1" workbookViewId="0">
      <selection activeCell="E16" sqref="E16"/>
    </sheetView>
  </sheetViews>
  <sheetFormatPr defaultRowHeight="15" x14ac:dyDescent="0.25"/>
  <cols>
    <col min="2" max="2" width="10.140625" bestFit="1" customWidth="1"/>
    <col min="3" max="3" width="13.7109375" customWidth="1"/>
    <col min="4" max="4" width="10" customWidth="1"/>
    <col min="7" max="7" width="11.28515625" bestFit="1" customWidth="1"/>
    <col min="10" max="10" width="10.140625" bestFit="1" customWidth="1"/>
    <col min="11" max="11" width="17.140625" customWidth="1"/>
    <col min="12" max="12" width="26.140625" customWidth="1"/>
    <col min="13" max="13" width="11.7109375" customWidth="1"/>
    <col min="14" max="14" width="14" customWidth="1"/>
  </cols>
  <sheetData>
    <row r="4" spans="2:14" ht="15.75" x14ac:dyDescent="0.25">
      <c r="B4" s="160" t="s">
        <v>20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2"/>
    </row>
    <row r="5" spans="2:14" ht="15.75" x14ac:dyDescent="0.25">
      <c r="B5" s="160" t="s">
        <v>0</v>
      </c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2"/>
    </row>
    <row r="6" spans="2:14" ht="15.75" x14ac:dyDescent="0.25">
      <c r="B6" s="161" t="s">
        <v>1</v>
      </c>
      <c r="C6" s="161"/>
      <c r="D6" s="161"/>
      <c r="E6" s="161"/>
      <c r="F6" s="161"/>
      <c r="G6" s="161"/>
      <c r="H6" s="43"/>
      <c r="I6" s="43"/>
      <c r="J6" s="161" t="s">
        <v>2</v>
      </c>
      <c r="K6" s="161"/>
      <c r="L6" s="161"/>
      <c r="M6" s="161"/>
      <c r="N6" s="2"/>
    </row>
    <row r="7" spans="2:14" ht="30" x14ac:dyDescent="0.25">
      <c r="B7" s="3" t="s">
        <v>3</v>
      </c>
      <c r="C7" s="3" t="s">
        <v>4</v>
      </c>
      <c r="D7" s="3" t="s">
        <v>5</v>
      </c>
      <c r="E7" s="4" t="s">
        <v>6</v>
      </c>
      <c r="F7" s="5" t="s">
        <v>7</v>
      </c>
      <c r="G7" s="4" t="s">
        <v>8</v>
      </c>
      <c r="H7" s="5" t="s">
        <v>9</v>
      </c>
      <c r="I7" s="3"/>
      <c r="J7" s="3" t="s">
        <v>3</v>
      </c>
      <c r="K7" s="3" t="s">
        <v>10</v>
      </c>
      <c r="L7" s="3" t="s">
        <v>11</v>
      </c>
      <c r="M7" s="4" t="s">
        <v>8</v>
      </c>
      <c r="N7" s="5" t="s">
        <v>9</v>
      </c>
    </row>
    <row r="8" spans="2:14" ht="30" x14ac:dyDescent="0.25">
      <c r="B8" s="7">
        <v>46114</v>
      </c>
      <c r="C8" s="20" t="s">
        <v>387</v>
      </c>
      <c r="D8" s="8" t="s">
        <v>388</v>
      </c>
      <c r="E8" s="8"/>
      <c r="F8" s="9"/>
      <c r="G8" s="9">
        <v>15000000</v>
      </c>
      <c r="H8" s="9" t="s">
        <v>13</v>
      </c>
      <c r="I8" s="8"/>
      <c r="J8" s="7"/>
      <c r="K8" s="20"/>
      <c r="L8" s="20"/>
      <c r="N8" s="8"/>
    </row>
    <row r="9" spans="2:14" ht="28.5" customHeight="1" x14ac:dyDescent="0.25">
      <c r="B9" s="7"/>
      <c r="C9" s="8"/>
      <c r="D9" s="20"/>
      <c r="E9" s="8"/>
      <c r="F9" s="9"/>
      <c r="G9" s="9"/>
      <c r="H9" s="38"/>
      <c r="I9" s="14"/>
      <c r="J9" s="7">
        <v>46114</v>
      </c>
      <c r="K9" s="20" t="s">
        <v>225</v>
      </c>
      <c r="L9" s="20" t="s">
        <v>391</v>
      </c>
      <c r="M9" s="9">
        <v>1090000</v>
      </c>
      <c r="N9" s="20" t="s">
        <v>227</v>
      </c>
    </row>
    <row r="10" spans="2:14" ht="28.5" customHeight="1" x14ac:dyDescent="0.25">
      <c r="B10" s="7"/>
      <c r="C10" s="8"/>
      <c r="D10" s="20"/>
      <c r="E10" s="8"/>
      <c r="F10" s="9"/>
      <c r="G10" s="9"/>
      <c r="H10" s="38"/>
      <c r="I10" s="14"/>
      <c r="J10" s="7">
        <v>46114</v>
      </c>
      <c r="K10" s="20" t="s">
        <v>24</v>
      </c>
      <c r="L10" s="20" t="s">
        <v>422</v>
      </c>
      <c r="M10" s="9">
        <v>3000000</v>
      </c>
      <c r="N10" s="20" t="s">
        <v>13</v>
      </c>
    </row>
    <row r="11" spans="2:14" ht="30" x14ac:dyDescent="0.25">
      <c r="B11" s="7">
        <v>46114</v>
      </c>
      <c r="C11" s="35" t="s">
        <v>389</v>
      </c>
      <c r="D11" s="36" t="s">
        <v>219</v>
      </c>
      <c r="E11" s="8"/>
      <c r="F11" s="9"/>
      <c r="G11" s="9">
        <v>516200</v>
      </c>
      <c r="H11" s="36" t="s">
        <v>390</v>
      </c>
      <c r="I11" s="8"/>
      <c r="J11" s="7">
        <v>46114</v>
      </c>
      <c r="K11" s="20" t="s">
        <v>392</v>
      </c>
      <c r="L11" s="20" t="s">
        <v>393</v>
      </c>
      <c r="M11" s="9">
        <v>800000</v>
      </c>
      <c r="N11" s="8">
        <v>772944146</v>
      </c>
    </row>
    <row r="12" spans="2:14" x14ac:dyDescent="0.25">
      <c r="B12" s="7"/>
      <c r="C12" s="20"/>
      <c r="D12" s="8"/>
      <c r="E12" s="8"/>
      <c r="F12" s="9"/>
      <c r="G12" s="9"/>
      <c r="H12" s="9"/>
      <c r="I12" s="8"/>
      <c r="J12" s="7"/>
      <c r="K12" s="35"/>
      <c r="L12" s="40"/>
      <c r="M12" s="9"/>
      <c r="N12" s="8"/>
    </row>
    <row r="13" spans="2:14" x14ac:dyDescent="0.25">
      <c r="B13" s="7"/>
      <c r="C13" s="8"/>
      <c r="D13" s="8"/>
      <c r="E13" s="8"/>
      <c r="F13" s="9"/>
      <c r="G13" s="9"/>
      <c r="H13" s="9"/>
      <c r="I13" s="8"/>
      <c r="J13" s="7">
        <v>46114</v>
      </c>
      <c r="K13" s="36" t="s">
        <v>386</v>
      </c>
      <c r="L13" s="32" t="s">
        <v>394</v>
      </c>
      <c r="M13" s="29">
        <v>300000</v>
      </c>
      <c r="N13" s="8">
        <v>7763120222</v>
      </c>
    </row>
    <row r="14" spans="2:14" x14ac:dyDescent="0.25">
      <c r="B14" s="7"/>
      <c r="C14" s="8"/>
      <c r="D14" s="8"/>
      <c r="E14" s="8"/>
      <c r="F14" s="9"/>
      <c r="G14" s="9"/>
      <c r="H14" s="9"/>
      <c r="I14" s="8"/>
      <c r="J14" s="7"/>
      <c r="K14" s="8"/>
      <c r="L14" s="20"/>
      <c r="M14" s="9"/>
      <c r="N14" s="8"/>
    </row>
    <row r="15" spans="2:14" ht="30" x14ac:dyDescent="0.25">
      <c r="B15" s="7"/>
      <c r="C15" s="8"/>
      <c r="D15" s="8"/>
      <c r="E15" s="8"/>
      <c r="F15" s="9"/>
      <c r="G15" s="9"/>
      <c r="H15" s="9"/>
      <c r="I15" s="8"/>
      <c r="J15" s="7">
        <v>46114</v>
      </c>
      <c r="K15" s="20" t="s">
        <v>395</v>
      </c>
      <c r="L15" s="20" t="s">
        <v>396</v>
      </c>
      <c r="M15" s="9">
        <v>900000</v>
      </c>
      <c r="N15" s="20">
        <v>757069336</v>
      </c>
    </row>
    <row r="16" spans="2:14" x14ac:dyDescent="0.25">
      <c r="B16" s="8"/>
      <c r="C16" s="8"/>
      <c r="D16" s="8"/>
      <c r="E16" s="8"/>
      <c r="F16" s="9"/>
      <c r="G16" s="9"/>
      <c r="H16" s="9"/>
      <c r="I16" s="8"/>
      <c r="J16" s="7"/>
      <c r="K16" s="8"/>
      <c r="L16" s="20"/>
      <c r="M16" s="9"/>
      <c r="N16" s="8"/>
    </row>
    <row r="17" spans="2:14" x14ac:dyDescent="0.25">
      <c r="B17" s="8"/>
      <c r="C17" s="8"/>
      <c r="D17" s="8"/>
      <c r="E17" s="8"/>
      <c r="F17" s="9"/>
      <c r="G17" s="9"/>
      <c r="H17" s="9"/>
      <c r="I17" s="8"/>
      <c r="J17" s="7">
        <v>46115</v>
      </c>
      <c r="K17" s="8" t="s">
        <v>397</v>
      </c>
      <c r="L17" s="20" t="s">
        <v>398</v>
      </c>
      <c r="M17" s="9">
        <v>30000</v>
      </c>
      <c r="N17" s="20">
        <v>748881438</v>
      </c>
    </row>
    <row r="18" spans="2:14" x14ac:dyDescent="0.25">
      <c r="B18" s="8"/>
      <c r="C18" s="8"/>
      <c r="D18" s="8"/>
      <c r="E18" s="8"/>
      <c r="F18" s="9"/>
      <c r="G18" s="9"/>
      <c r="H18" s="9"/>
      <c r="I18" s="8"/>
      <c r="J18" s="7"/>
      <c r="K18" s="8"/>
      <c r="L18" s="20"/>
      <c r="M18" s="9"/>
      <c r="N18" s="8"/>
    </row>
    <row r="19" spans="2:14" ht="30" x14ac:dyDescent="0.25">
      <c r="B19" s="8"/>
      <c r="C19" s="8"/>
      <c r="D19" s="8"/>
      <c r="E19" s="8"/>
      <c r="F19" s="9"/>
      <c r="G19" s="9"/>
      <c r="H19" s="9"/>
      <c r="I19" s="8"/>
      <c r="J19" s="7">
        <v>46115</v>
      </c>
      <c r="K19" s="20" t="s">
        <v>232</v>
      </c>
      <c r="L19" s="20" t="s">
        <v>399</v>
      </c>
      <c r="M19" s="9">
        <v>280000</v>
      </c>
      <c r="N19" s="8">
        <v>779915273</v>
      </c>
    </row>
    <row r="20" spans="2:14" x14ac:dyDescent="0.25">
      <c r="B20" s="8"/>
      <c r="C20" s="8"/>
      <c r="D20" s="8"/>
      <c r="E20" s="8"/>
      <c r="F20" s="9"/>
      <c r="G20" s="9"/>
      <c r="H20" s="9"/>
      <c r="I20" s="8"/>
      <c r="J20" s="7"/>
      <c r="K20" s="20"/>
      <c r="L20" s="20"/>
      <c r="M20" s="9"/>
      <c r="N20" s="8"/>
    </row>
    <row r="21" spans="2:14" ht="30" x14ac:dyDescent="0.25">
      <c r="B21" s="8"/>
      <c r="C21" s="8"/>
      <c r="D21" s="8"/>
      <c r="E21" s="8"/>
      <c r="F21" s="9"/>
      <c r="G21" s="9"/>
      <c r="H21" s="9"/>
      <c r="I21" s="8"/>
      <c r="J21" s="7">
        <v>46115</v>
      </c>
      <c r="K21" s="20" t="s">
        <v>406</v>
      </c>
      <c r="L21" s="20" t="s">
        <v>405</v>
      </c>
      <c r="M21" s="9">
        <v>3000000</v>
      </c>
      <c r="N21" s="8" t="s">
        <v>13</v>
      </c>
    </row>
    <row r="22" spans="2:14" x14ac:dyDescent="0.25">
      <c r="B22" s="8"/>
      <c r="C22" s="8"/>
      <c r="D22" s="8"/>
      <c r="E22" s="8"/>
      <c r="F22" s="9"/>
      <c r="G22" s="9"/>
      <c r="H22" s="9"/>
      <c r="I22" s="8"/>
      <c r="J22" s="7"/>
      <c r="K22" s="8"/>
      <c r="L22" s="20"/>
      <c r="M22" s="9"/>
      <c r="N22" s="8"/>
    </row>
    <row r="23" spans="2:14" ht="34.5" customHeight="1" x14ac:dyDescent="0.25">
      <c r="B23" s="8"/>
      <c r="C23" s="8"/>
      <c r="D23" s="8"/>
      <c r="E23" s="8"/>
      <c r="F23" s="9"/>
      <c r="G23" s="9"/>
      <c r="H23" s="9"/>
      <c r="I23" s="8"/>
      <c r="J23" s="7">
        <v>46117</v>
      </c>
      <c r="K23" s="20" t="s">
        <v>232</v>
      </c>
      <c r="L23" s="20" t="s">
        <v>400</v>
      </c>
      <c r="M23" s="9">
        <v>260000</v>
      </c>
      <c r="N23" s="8">
        <v>779915273</v>
      </c>
    </row>
    <row r="24" spans="2:14" x14ac:dyDescent="0.25">
      <c r="B24" s="8"/>
      <c r="C24" s="8"/>
      <c r="D24" s="8"/>
      <c r="E24" s="8"/>
      <c r="F24" s="9"/>
      <c r="G24" s="9"/>
      <c r="H24" s="9"/>
      <c r="I24" s="8"/>
      <c r="J24" s="7"/>
      <c r="K24" s="8"/>
      <c r="L24" s="20"/>
      <c r="M24" s="9"/>
      <c r="N24" s="8"/>
    </row>
    <row r="25" spans="2:14" ht="30" x14ac:dyDescent="0.25">
      <c r="B25" s="8"/>
      <c r="C25" s="8"/>
      <c r="D25" s="8"/>
      <c r="E25" s="8"/>
      <c r="F25" s="9"/>
      <c r="G25" s="9"/>
      <c r="H25" s="9"/>
      <c r="I25" s="8"/>
      <c r="J25" s="41">
        <v>46118</v>
      </c>
      <c r="K25" s="20" t="s">
        <v>24</v>
      </c>
      <c r="L25" s="20" t="s">
        <v>401</v>
      </c>
      <c r="M25" s="9">
        <v>500000</v>
      </c>
      <c r="N25" s="8">
        <v>700742461</v>
      </c>
    </row>
    <row r="26" spans="2:14" x14ac:dyDescent="0.25">
      <c r="B26" s="8"/>
      <c r="C26" s="8"/>
      <c r="D26" s="8"/>
      <c r="E26" s="8"/>
      <c r="F26" s="9"/>
      <c r="G26" s="9"/>
      <c r="H26" s="9"/>
      <c r="I26" s="8"/>
      <c r="J26" s="7"/>
      <c r="K26" s="8"/>
      <c r="L26" s="20"/>
      <c r="M26" s="9"/>
      <c r="N26" s="8"/>
    </row>
    <row r="27" spans="2:14" x14ac:dyDescent="0.25">
      <c r="B27" s="8"/>
      <c r="C27" s="8"/>
      <c r="D27" s="8"/>
      <c r="E27" s="8"/>
      <c r="F27" s="9"/>
      <c r="G27" s="9"/>
      <c r="H27" s="9"/>
      <c r="I27" s="8"/>
      <c r="J27" s="7">
        <v>46118</v>
      </c>
      <c r="K27" s="8" t="s">
        <v>232</v>
      </c>
      <c r="L27" s="20" t="s">
        <v>402</v>
      </c>
      <c r="M27" s="9">
        <v>155000</v>
      </c>
      <c r="N27" s="8">
        <v>779915273</v>
      </c>
    </row>
    <row r="28" spans="2:14" x14ac:dyDescent="0.25">
      <c r="B28" s="8"/>
      <c r="C28" s="8"/>
      <c r="D28" s="8"/>
      <c r="E28" s="8"/>
      <c r="F28" s="9"/>
      <c r="G28" s="9"/>
      <c r="H28" s="9"/>
      <c r="I28" s="8"/>
      <c r="J28" s="7"/>
      <c r="K28" s="8"/>
      <c r="L28" s="20"/>
      <c r="M28" s="9"/>
      <c r="N28" s="8"/>
    </row>
    <row r="29" spans="2:14" ht="30" x14ac:dyDescent="0.25">
      <c r="B29" s="8"/>
      <c r="C29" s="8"/>
      <c r="D29" s="8"/>
      <c r="E29" s="8"/>
      <c r="F29" s="9"/>
      <c r="G29" s="9"/>
      <c r="H29" s="9"/>
      <c r="I29" s="8"/>
      <c r="J29" s="7">
        <v>46118</v>
      </c>
      <c r="K29" s="8" t="s">
        <v>408</v>
      </c>
      <c r="L29" s="20" t="s">
        <v>403</v>
      </c>
      <c r="M29" s="9">
        <v>3000</v>
      </c>
      <c r="N29" s="8" t="s">
        <v>407</v>
      </c>
    </row>
    <row r="30" spans="2:14" x14ac:dyDescent="0.25">
      <c r="B30" s="8"/>
      <c r="C30" s="8"/>
      <c r="D30" s="8"/>
      <c r="E30" s="8"/>
      <c r="F30" s="9"/>
      <c r="G30" s="9"/>
      <c r="H30" s="9"/>
      <c r="I30" s="8"/>
      <c r="J30" s="7"/>
      <c r="K30" s="8"/>
      <c r="L30" s="20"/>
      <c r="M30" s="9"/>
      <c r="N30" s="8"/>
    </row>
    <row r="31" spans="2:14" ht="12.75" customHeight="1" x14ac:dyDescent="0.25">
      <c r="B31" s="8"/>
      <c r="C31" s="8"/>
      <c r="D31" s="8"/>
      <c r="E31" s="8"/>
      <c r="F31" s="9"/>
      <c r="G31" s="9"/>
      <c r="H31" s="9"/>
      <c r="I31" s="8"/>
      <c r="J31" s="7">
        <v>46118</v>
      </c>
      <c r="K31" s="20" t="s">
        <v>24</v>
      </c>
      <c r="L31" s="20" t="s">
        <v>484</v>
      </c>
      <c r="M31" s="9">
        <v>4005000</v>
      </c>
      <c r="N31" s="20" t="s">
        <v>13</v>
      </c>
    </row>
    <row r="32" spans="2:14" x14ac:dyDescent="0.25">
      <c r="B32" s="8"/>
      <c r="C32" s="8"/>
      <c r="D32" s="8"/>
      <c r="E32" s="8"/>
      <c r="F32" s="9"/>
      <c r="G32" s="9"/>
      <c r="H32" s="9"/>
      <c r="I32" s="8"/>
      <c r="J32" s="7"/>
      <c r="K32" s="8"/>
      <c r="L32" s="20"/>
      <c r="M32" s="9"/>
      <c r="N32" s="8"/>
    </row>
    <row r="33" spans="2:14" ht="15.75" customHeight="1" x14ac:dyDescent="0.25">
      <c r="B33" s="8"/>
      <c r="C33" s="8"/>
      <c r="D33" s="8"/>
      <c r="E33" s="8"/>
      <c r="F33" s="9"/>
      <c r="G33" s="9"/>
      <c r="H33" s="9"/>
      <c r="I33" s="8"/>
      <c r="J33" s="7">
        <v>46118</v>
      </c>
      <c r="K33" s="8" t="s">
        <v>329</v>
      </c>
      <c r="L33" s="20" t="s">
        <v>404</v>
      </c>
      <c r="M33" s="9">
        <v>10000</v>
      </c>
      <c r="N33" s="8" t="s">
        <v>13</v>
      </c>
    </row>
    <row r="34" spans="2:14" x14ac:dyDescent="0.25">
      <c r="B34" s="8"/>
      <c r="C34" s="8"/>
      <c r="D34" s="8"/>
      <c r="E34" s="8"/>
      <c r="F34" s="9"/>
      <c r="G34" s="9"/>
      <c r="H34" s="9"/>
      <c r="I34" s="8"/>
      <c r="J34" s="7"/>
      <c r="K34" s="8"/>
      <c r="L34" s="20"/>
      <c r="M34" s="9"/>
      <c r="N34" s="8"/>
    </row>
    <row r="35" spans="2:14" x14ac:dyDescent="0.25">
      <c r="B35" s="8"/>
      <c r="C35" s="8"/>
      <c r="D35" s="8"/>
      <c r="E35" s="8"/>
      <c r="F35" s="9"/>
      <c r="G35" s="9"/>
      <c r="H35" s="9"/>
      <c r="I35" s="8"/>
      <c r="J35" s="7">
        <v>46118</v>
      </c>
      <c r="K35" s="8" t="s">
        <v>409</v>
      </c>
      <c r="L35" s="20" t="s">
        <v>410</v>
      </c>
      <c r="M35" s="9">
        <v>140000</v>
      </c>
      <c r="N35" s="8">
        <v>774594652</v>
      </c>
    </row>
    <row r="36" spans="2:14" x14ac:dyDescent="0.25">
      <c r="B36" s="8"/>
      <c r="C36" s="8"/>
      <c r="D36" s="8"/>
      <c r="E36" s="8"/>
      <c r="F36" s="9"/>
      <c r="G36" s="9"/>
      <c r="H36" s="9"/>
      <c r="I36" s="8"/>
      <c r="J36" s="7"/>
      <c r="K36" s="8"/>
      <c r="L36" s="8"/>
      <c r="M36" s="9"/>
      <c r="N36" s="8"/>
    </row>
    <row r="37" spans="2:14" x14ac:dyDescent="0.25">
      <c r="B37" s="8"/>
      <c r="C37" s="8"/>
      <c r="D37" s="8"/>
      <c r="E37" s="8"/>
      <c r="F37" s="9"/>
      <c r="G37" s="9"/>
      <c r="H37" s="9"/>
      <c r="I37" s="8"/>
      <c r="J37" s="7">
        <v>46119</v>
      </c>
      <c r="K37" s="20" t="s">
        <v>412</v>
      </c>
      <c r="L37" s="20" t="s">
        <v>411</v>
      </c>
      <c r="M37" s="9">
        <v>10000</v>
      </c>
      <c r="N37" s="8" t="s">
        <v>13</v>
      </c>
    </row>
    <row r="38" spans="2:14" x14ac:dyDescent="0.25">
      <c r="B38" s="8"/>
      <c r="C38" s="8"/>
      <c r="D38" s="8"/>
      <c r="E38" s="8"/>
      <c r="F38" s="9"/>
      <c r="G38" s="9"/>
      <c r="H38" s="9"/>
      <c r="I38" s="8"/>
      <c r="J38" s="7"/>
      <c r="K38" s="8"/>
      <c r="L38" s="20"/>
      <c r="M38" s="9"/>
      <c r="N38" s="8"/>
    </row>
    <row r="39" spans="2:14" ht="30" x14ac:dyDescent="0.25">
      <c r="B39" s="8"/>
      <c r="C39" s="8"/>
      <c r="D39" s="8"/>
      <c r="E39" s="8"/>
      <c r="F39" s="9"/>
      <c r="G39" s="9"/>
      <c r="H39" s="9"/>
      <c r="I39" s="8"/>
      <c r="J39" s="7">
        <v>46119</v>
      </c>
      <c r="K39" s="20" t="s">
        <v>414</v>
      </c>
      <c r="L39" s="20" t="s">
        <v>413</v>
      </c>
      <c r="M39" s="9">
        <v>400000</v>
      </c>
      <c r="N39" s="8">
        <v>740910438</v>
      </c>
    </row>
    <row r="40" spans="2:14" ht="30" x14ac:dyDescent="0.25">
      <c r="B40" s="8"/>
      <c r="C40" s="8"/>
      <c r="D40" s="8"/>
      <c r="E40" s="8"/>
      <c r="F40" s="9"/>
      <c r="G40" s="9"/>
      <c r="H40" s="9"/>
      <c r="I40" s="8"/>
      <c r="J40" s="7"/>
      <c r="K40" s="20"/>
      <c r="L40" s="20" t="s">
        <v>415</v>
      </c>
      <c r="M40" s="9">
        <v>2000</v>
      </c>
      <c r="N40" s="8"/>
    </row>
    <row r="41" spans="2:14" x14ac:dyDescent="0.25">
      <c r="B41" s="8"/>
      <c r="C41" s="8"/>
      <c r="D41" s="8"/>
      <c r="E41" s="8"/>
      <c r="F41" s="9"/>
      <c r="G41" s="9"/>
      <c r="H41" s="9"/>
      <c r="I41" s="8"/>
      <c r="J41" s="7"/>
      <c r="K41" s="20"/>
      <c r="L41" s="20"/>
      <c r="M41" s="9"/>
      <c r="N41" s="8"/>
    </row>
    <row r="42" spans="2:14" ht="30" x14ac:dyDescent="0.25">
      <c r="B42" s="8"/>
      <c r="C42" s="8"/>
      <c r="D42" s="8"/>
      <c r="E42" s="8"/>
      <c r="F42" s="9"/>
      <c r="G42" s="9"/>
      <c r="H42" s="9"/>
      <c r="I42" s="8"/>
      <c r="J42" s="7">
        <v>46120</v>
      </c>
      <c r="K42" s="20" t="s">
        <v>140</v>
      </c>
      <c r="L42" s="20" t="s">
        <v>416</v>
      </c>
      <c r="M42" s="9">
        <v>4000</v>
      </c>
      <c r="N42" s="8" t="s">
        <v>13</v>
      </c>
    </row>
    <row r="43" spans="2:14" x14ac:dyDescent="0.25">
      <c r="B43" s="8"/>
      <c r="C43" s="8"/>
      <c r="D43" s="8"/>
      <c r="E43" s="8"/>
      <c r="F43" s="9"/>
      <c r="G43" s="9"/>
      <c r="H43" s="9"/>
      <c r="I43" s="8"/>
      <c r="J43" s="7"/>
      <c r="K43" s="20"/>
      <c r="L43" s="20"/>
      <c r="M43" s="9"/>
      <c r="N43" s="8"/>
    </row>
    <row r="44" spans="2:14" ht="24.75" customHeight="1" x14ac:dyDescent="0.25">
      <c r="B44" s="8"/>
      <c r="C44" s="8"/>
      <c r="D44" s="8"/>
      <c r="E44" s="8"/>
      <c r="F44" s="9"/>
      <c r="G44" s="9"/>
      <c r="H44" s="9"/>
      <c r="I44" s="8"/>
      <c r="J44" s="7">
        <v>46122</v>
      </c>
      <c r="K44" s="20" t="s">
        <v>417</v>
      </c>
      <c r="L44" s="20" t="s">
        <v>418</v>
      </c>
      <c r="M44" s="9">
        <v>50000</v>
      </c>
      <c r="N44" s="8">
        <v>792505557</v>
      </c>
    </row>
    <row r="45" spans="2:14" x14ac:dyDescent="0.25">
      <c r="B45" s="8"/>
      <c r="C45" s="8"/>
      <c r="D45" s="8"/>
      <c r="E45" s="8"/>
      <c r="F45" s="9"/>
      <c r="G45" s="9"/>
      <c r="H45" s="9"/>
      <c r="I45" s="8"/>
      <c r="J45" s="7"/>
      <c r="K45" s="20"/>
      <c r="L45" s="20"/>
      <c r="M45" s="9"/>
      <c r="N45" s="8"/>
    </row>
    <row r="46" spans="2:14" ht="30" x14ac:dyDescent="0.25">
      <c r="B46" s="8"/>
      <c r="C46" s="8"/>
      <c r="D46" s="8"/>
      <c r="E46" s="8"/>
      <c r="F46" s="9"/>
      <c r="G46" s="9"/>
      <c r="H46" s="9"/>
      <c r="I46" s="8"/>
      <c r="J46" s="7">
        <v>46122</v>
      </c>
      <c r="K46" s="20" t="s">
        <v>329</v>
      </c>
      <c r="L46" s="20" t="s">
        <v>419</v>
      </c>
      <c r="M46" s="9">
        <v>16000</v>
      </c>
      <c r="N46" s="8" t="s">
        <v>13</v>
      </c>
    </row>
    <row r="47" spans="2:14" x14ac:dyDescent="0.25">
      <c r="B47" s="8"/>
      <c r="C47" s="8"/>
      <c r="D47" s="8"/>
      <c r="E47" s="8"/>
      <c r="F47" s="9"/>
      <c r="G47" s="9"/>
      <c r="H47" s="9"/>
      <c r="I47" s="8"/>
      <c r="J47" s="7"/>
      <c r="K47" s="20"/>
      <c r="L47" s="20"/>
      <c r="M47" s="9"/>
      <c r="N47" s="8"/>
    </row>
    <row r="48" spans="2:14" ht="30" x14ac:dyDescent="0.25">
      <c r="B48" s="8"/>
      <c r="C48" s="8"/>
      <c r="D48" s="8"/>
      <c r="E48" s="8"/>
      <c r="F48" s="9"/>
      <c r="G48" s="9"/>
      <c r="H48" s="9"/>
      <c r="I48" s="8"/>
      <c r="J48" s="7">
        <v>46124</v>
      </c>
      <c r="K48" s="20" t="s">
        <v>420</v>
      </c>
      <c r="L48" s="20" t="s">
        <v>423</v>
      </c>
      <c r="M48" s="9">
        <v>68000</v>
      </c>
      <c r="N48" s="8" t="s">
        <v>421</v>
      </c>
    </row>
    <row r="49" spans="2:14" x14ac:dyDescent="0.25">
      <c r="B49" s="8"/>
      <c r="C49" s="8"/>
      <c r="D49" s="8"/>
      <c r="E49" s="8"/>
      <c r="F49" s="9"/>
      <c r="G49" s="9"/>
      <c r="H49" s="9"/>
      <c r="I49" s="8"/>
      <c r="J49" s="7"/>
      <c r="K49" s="20"/>
      <c r="L49" s="20"/>
      <c r="M49" s="9"/>
      <c r="N49" s="8"/>
    </row>
    <row r="50" spans="2:14" ht="45" x14ac:dyDescent="0.25">
      <c r="B50" s="8"/>
      <c r="C50" s="8"/>
      <c r="D50" s="8"/>
      <c r="E50" s="8"/>
      <c r="F50" s="9"/>
      <c r="G50" s="9"/>
      <c r="H50" s="9"/>
      <c r="I50" s="8"/>
      <c r="J50" s="7">
        <v>46126</v>
      </c>
      <c r="K50" s="20" t="s">
        <v>232</v>
      </c>
      <c r="L50" s="20" t="s">
        <v>424</v>
      </c>
      <c r="M50" s="9">
        <v>332000</v>
      </c>
      <c r="N50" s="8">
        <v>779915273</v>
      </c>
    </row>
    <row r="51" spans="2:14" x14ac:dyDescent="0.25">
      <c r="B51" s="8"/>
      <c r="C51" s="8"/>
      <c r="D51" s="8"/>
      <c r="E51" s="8"/>
      <c r="F51" s="9"/>
      <c r="G51" s="9"/>
      <c r="H51" s="9"/>
      <c r="I51" s="8"/>
      <c r="J51" s="7"/>
      <c r="K51" s="20"/>
      <c r="L51" s="20" t="s">
        <v>425</v>
      </c>
      <c r="M51" s="9">
        <v>1000</v>
      </c>
      <c r="N51" s="8"/>
    </row>
    <row r="52" spans="2:14" x14ac:dyDescent="0.25">
      <c r="B52" s="8"/>
      <c r="C52" s="8"/>
      <c r="D52" s="8"/>
      <c r="E52" s="8"/>
      <c r="F52" s="9"/>
      <c r="G52" s="9"/>
      <c r="H52" s="9"/>
      <c r="I52" s="8"/>
      <c r="J52" s="7"/>
      <c r="K52" s="20"/>
      <c r="L52" s="20"/>
      <c r="M52" s="9"/>
      <c r="N52" s="8"/>
    </row>
    <row r="53" spans="2:14" x14ac:dyDescent="0.25">
      <c r="B53" s="8"/>
      <c r="C53" s="8"/>
      <c r="D53" s="8"/>
      <c r="E53" s="8"/>
      <c r="F53" s="9"/>
      <c r="G53" s="9"/>
      <c r="H53" s="9"/>
      <c r="I53" s="8"/>
      <c r="J53" s="7"/>
      <c r="K53" s="20"/>
      <c r="L53" s="20"/>
      <c r="M53" s="9"/>
      <c r="N53" s="8"/>
    </row>
    <row r="54" spans="2:14" x14ac:dyDescent="0.25">
      <c r="B54" s="8"/>
      <c r="C54" s="8"/>
      <c r="D54" s="8"/>
      <c r="E54" s="8"/>
      <c r="F54" s="9"/>
      <c r="G54" s="9"/>
      <c r="H54" s="9"/>
      <c r="I54" s="8"/>
      <c r="J54" s="7"/>
      <c r="K54" s="20"/>
      <c r="L54" s="20"/>
      <c r="M54" s="9"/>
      <c r="N54" s="8"/>
    </row>
    <row r="55" spans="2:14" x14ac:dyDescent="0.25">
      <c r="B55" s="8"/>
      <c r="C55" s="8"/>
      <c r="D55" s="8"/>
      <c r="E55" s="8"/>
      <c r="F55" s="9"/>
      <c r="G55" s="9"/>
      <c r="H55" s="9"/>
      <c r="I55" s="8"/>
      <c r="J55" s="7"/>
      <c r="K55" s="20"/>
      <c r="L55" s="20"/>
      <c r="M55" s="9"/>
      <c r="N55" s="8"/>
    </row>
    <row r="56" spans="2:14" x14ac:dyDescent="0.25">
      <c r="B56" s="8"/>
      <c r="C56" s="8"/>
      <c r="D56" s="8"/>
      <c r="E56" s="8"/>
      <c r="F56" s="9"/>
      <c r="G56" s="9"/>
      <c r="H56" s="9"/>
      <c r="I56" s="8"/>
      <c r="J56" s="7"/>
      <c r="K56" s="20"/>
      <c r="L56" s="20"/>
      <c r="M56" s="9"/>
      <c r="N56" s="8"/>
    </row>
    <row r="57" spans="2:14" x14ac:dyDescent="0.25">
      <c r="B57" s="8"/>
      <c r="C57" s="8"/>
      <c r="D57" s="8"/>
      <c r="E57" s="8"/>
      <c r="F57" s="9"/>
      <c r="G57" s="9"/>
      <c r="H57" s="9"/>
      <c r="I57" s="8"/>
      <c r="J57" s="7"/>
      <c r="K57" s="20"/>
      <c r="L57" s="20"/>
      <c r="M57" s="9"/>
      <c r="N57" s="8"/>
    </row>
    <row r="58" spans="2:14" x14ac:dyDescent="0.25">
      <c r="B58" s="8"/>
      <c r="C58" s="8"/>
      <c r="D58" s="8"/>
      <c r="E58" s="8"/>
      <c r="F58" s="9"/>
      <c r="G58" s="9"/>
      <c r="H58" s="9"/>
      <c r="I58" s="8"/>
      <c r="J58" s="7"/>
      <c r="K58" s="20"/>
      <c r="L58" s="20"/>
      <c r="M58" s="9"/>
      <c r="N58" s="8"/>
    </row>
    <row r="59" spans="2:14" x14ac:dyDescent="0.25">
      <c r="B59" s="8"/>
      <c r="C59" s="8"/>
      <c r="D59" s="8"/>
      <c r="E59" s="8"/>
      <c r="F59" s="9"/>
      <c r="G59" s="9"/>
      <c r="H59" s="9"/>
      <c r="I59" s="8"/>
      <c r="J59" s="7"/>
      <c r="K59" s="20"/>
      <c r="L59" s="20"/>
      <c r="M59" s="9"/>
      <c r="N59" s="8"/>
    </row>
    <row r="60" spans="2:14" x14ac:dyDescent="0.25">
      <c r="B60" s="8"/>
      <c r="C60" s="8"/>
      <c r="D60" s="8"/>
      <c r="E60" s="8"/>
      <c r="F60" s="9"/>
      <c r="G60" s="9"/>
      <c r="H60" s="9"/>
      <c r="I60" s="8"/>
      <c r="J60" s="7"/>
      <c r="K60" s="20"/>
      <c r="L60" s="20"/>
      <c r="M60" s="9"/>
      <c r="N60" s="8"/>
    </row>
    <row r="61" spans="2:14" x14ac:dyDescent="0.25">
      <c r="B61" s="8"/>
      <c r="C61" s="8"/>
      <c r="D61" s="8"/>
      <c r="E61" s="8"/>
      <c r="F61" s="9"/>
      <c r="G61" s="9"/>
      <c r="H61" s="9"/>
      <c r="I61" s="8"/>
      <c r="J61" s="7"/>
      <c r="K61" s="20"/>
      <c r="L61" s="20"/>
      <c r="M61" s="9"/>
      <c r="N61" s="8"/>
    </row>
    <row r="62" spans="2:14" x14ac:dyDescent="0.25">
      <c r="B62" s="8"/>
      <c r="C62" s="8"/>
      <c r="D62" s="8"/>
      <c r="E62" s="8"/>
      <c r="F62" s="9"/>
      <c r="G62" s="9"/>
      <c r="H62" s="9"/>
      <c r="I62" s="8"/>
      <c r="J62" s="7"/>
      <c r="K62" s="20"/>
      <c r="L62" s="20"/>
      <c r="M62" s="9"/>
      <c r="N62" s="8"/>
    </row>
    <row r="63" spans="2:14" x14ac:dyDescent="0.25">
      <c r="B63" s="8"/>
      <c r="C63" s="8"/>
      <c r="D63" s="8"/>
      <c r="E63" s="8"/>
      <c r="F63" s="9"/>
      <c r="G63" s="9"/>
      <c r="H63" s="9"/>
      <c r="I63" s="8"/>
      <c r="J63" s="7"/>
      <c r="K63" s="20"/>
      <c r="L63" s="20"/>
      <c r="M63" s="9"/>
      <c r="N63" s="8"/>
    </row>
    <row r="64" spans="2:14" x14ac:dyDescent="0.25">
      <c r="B64" s="8"/>
      <c r="C64" s="8"/>
      <c r="D64" s="8"/>
      <c r="E64" s="8"/>
      <c r="F64" s="9"/>
      <c r="G64" s="9"/>
      <c r="H64" s="9"/>
      <c r="I64" s="8"/>
      <c r="J64" s="7"/>
      <c r="K64" s="20"/>
      <c r="L64" s="20"/>
      <c r="M64" s="9"/>
      <c r="N64" s="8"/>
    </row>
    <row r="65" spans="2:14" x14ac:dyDescent="0.25">
      <c r="B65" s="8"/>
      <c r="C65" s="8"/>
      <c r="D65" s="8"/>
      <c r="E65" s="8"/>
      <c r="F65" s="9"/>
      <c r="G65" s="9"/>
      <c r="H65" s="9"/>
      <c r="I65" s="8"/>
      <c r="J65" s="7"/>
      <c r="K65" s="20"/>
      <c r="L65" s="20"/>
      <c r="M65" s="9"/>
      <c r="N65" s="8"/>
    </row>
    <row r="66" spans="2:14" x14ac:dyDescent="0.25">
      <c r="B66" s="8"/>
      <c r="C66" s="8"/>
      <c r="D66" s="8"/>
      <c r="E66" s="8"/>
      <c r="F66" s="9"/>
      <c r="G66" s="9"/>
      <c r="H66" s="9"/>
      <c r="I66" s="8"/>
      <c r="J66" s="7"/>
      <c r="K66" s="20"/>
      <c r="L66" s="20"/>
      <c r="M66" s="9"/>
      <c r="N66" s="8"/>
    </row>
    <row r="67" spans="2:14" x14ac:dyDescent="0.25">
      <c r="B67" s="8"/>
      <c r="C67" s="8"/>
      <c r="D67" s="8"/>
      <c r="E67" s="8"/>
      <c r="F67" s="9"/>
      <c r="G67" s="9"/>
      <c r="H67" s="9"/>
      <c r="I67" s="8"/>
      <c r="J67" s="7"/>
      <c r="K67" s="20"/>
      <c r="L67" s="20"/>
      <c r="M67" s="9"/>
      <c r="N67" s="8"/>
    </row>
    <row r="68" spans="2:14" x14ac:dyDescent="0.25">
      <c r="B68" s="8"/>
      <c r="C68" s="8"/>
      <c r="D68" s="8"/>
      <c r="E68" s="8"/>
      <c r="F68" s="9"/>
      <c r="G68" s="9"/>
      <c r="H68" s="9"/>
      <c r="I68" s="8"/>
      <c r="J68" s="7"/>
      <c r="K68" s="20"/>
      <c r="L68" s="20"/>
      <c r="M68" s="9"/>
      <c r="N68" s="8"/>
    </row>
    <row r="69" spans="2:14" x14ac:dyDescent="0.25">
      <c r="B69" s="8"/>
      <c r="C69" s="8"/>
      <c r="D69" s="8"/>
      <c r="E69" s="8"/>
      <c r="F69" s="9"/>
      <c r="G69" s="9"/>
      <c r="H69" s="9"/>
      <c r="I69" s="8"/>
      <c r="J69" s="7"/>
      <c r="K69" s="20"/>
      <c r="L69" s="20"/>
      <c r="M69" s="9"/>
      <c r="N69" s="8"/>
    </row>
    <row r="70" spans="2:14" x14ac:dyDescent="0.25">
      <c r="B70" s="8"/>
      <c r="C70" s="8"/>
      <c r="D70" s="8"/>
      <c r="E70" s="8"/>
      <c r="F70" s="9"/>
      <c r="G70" s="9"/>
      <c r="H70" s="9"/>
      <c r="I70" s="8"/>
      <c r="J70" s="7"/>
      <c r="K70" s="20"/>
      <c r="L70" s="20"/>
      <c r="M70" s="9"/>
      <c r="N70" s="8"/>
    </row>
    <row r="71" spans="2:14" x14ac:dyDescent="0.25">
      <c r="B71" s="8"/>
      <c r="C71" s="8"/>
      <c r="D71" s="8"/>
      <c r="E71" s="8"/>
      <c r="F71" s="9"/>
      <c r="G71" s="9"/>
      <c r="H71" s="9"/>
      <c r="I71" s="8"/>
      <c r="J71" s="7"/>
      <c r="K71" s="20"/>
      <c r="L71" s="20"/>
      <c r="M71" s="9"/>
      <c r="N71" s="8"/>
    </row>
    <row r="72" spans="2:14" x14ac:dyDescent="0.25">
      <c r="B72" s="8"/>
      <c r="C72" s="8"/>
      <c r="D72" s="8"/>
      <c r="E72" s="8"/>
      <c r="F72" s="9"/>
      <c r="G72" s="9"/>
      <c r="H72" s="9"/>
      <c r="I72" s="8"/>
      <c r="J72" s="7"/>
      <c r="K72" s="20"/>
      <c r="L72" s="20"/>
      <c r="M72" s="9"/>
      <c r="N72" s="20"/>
    </row>
    <row r="73" spans="2:14" x14ac:dyDescent="0.25">
      <c r="B73" s="8"/>
      <c r="C73" s="8"/>
      <c r="D73" s="8"/>
      <c r="E73" s="8"/>
      <c r="F73" s="9"/>
      <c r="G73" s="9"/>
      <c r="H73" s="9"/>
      <c r="I73" s="8"/>
      <c r="J73" s="7"/>
      <c r="K73" s="20"/>
      <c r="L73" s="20"/>
      <c r="M73" s="9"/>
      <c r="N73" s="8"/>
    </row>
    <row r="74" spans="2:14" x14ac:dyDescent="0.25">
      <c r="B74" s="8"/>
      <c r="C74" s="8"/>
      <c r="D74" s="8"/>
      <c r="E74" s="8"/>
      <c r="F74" s="9"/>
      <c r="G74" s="9"/>
      <c r="H74" s="9"/>
      <c r="I74" s="8"/>
      <c r="J74" s="7"/>
      <c r="K74" s="20"/>
      <c r="L74" s="20"/>
      <c r="M74" s="9"/>
      <c r="N74" s="8"/>
    </row>
    <row r="75" spans="2:14" x14ac:dyDescent="0.25">
      <c r="B75" s="8"/>
      <c r="C75" s="8"/>
      <c r="D75" s="8"/>
      <c r="E75" s="8"/>
      <c r="F75" s="9"/>
      <c r="G75" s="9"/>
      <c r="H75" s="9"/>
      <c r="I75" s="8"/>
      <c r="J75" s="7"/>
      <c r="K75" s="20"/>
      <c r="L75" s="20"/>
      <c r="M75" s="9"/>
      <c r="N75" s="8"/>
    </row>
    <row r="76" spans="2:14" x14ac:dyDescent="0.25">
      <c r="B76" s="8"/>
      <c r="C76" s="8"/>
      <c r="D76" s="8"/>
      <c r="E76" s="8"/>
      <c r="F76" s="9"/>
      <c r="G76" s="9"/>
      <c r="H76" s="9"/>
      <c r="I76" s="8"/>
      <c r="J76" s="7"/>
      <c r="K76" s="20"/>
      <c r="L76" s="20"/>
      <c r="M76" s="9"/>
      <c r="N76" s="8"/>
    </row>
    <row r="77" spans="2:14" x14ac:dyDescent="0.25">
      <c r="B77" s="8"/>
      <c r="C77" s="8"/>
      <c r="D77" s="8"/>
      <c r="E77" s="8"/>
      <c r="F77" s="9"/>
      <c r="G77" s="9"/>
      <c r="H77" s="9"/>
      <c r="I77" s="8"/>
      <c r="J77" s="7"/>
      <c r="K77" s="20"/>
      <c r="L77" s="20"/>
      <c r="M77" s="9"/>
      <c r="N77" s="8"/>
    </row>
    <row r="78" spans="2:14" x14ac:dyDescent="0.25">
      <c r="B78" s="8"/>
      <c r="C78" s="8"/>
      <c r="D78" s="8"/>
      <c r="E78" s="8"/>
      <c r="F78" s="9"/>
      <c r="G78" s="9"/>
      <c r="H78" s="9"/>
      <c r="I78" s="8"/>
      <c r="J78" s="7"/>
      <c r="K78" s="20"/>
      <c r="L78" s="20"/>
      <c r="M78" s="9"/>
      <c r="N78" s="8"/>
    </row>
    <row r="79" spans="2:14" x14ac:dyDescent="0.25">
      <c r="B79" s="8"/>
      <c r="C79" s="8"/>
      <c r="D79" s="8"/>
      <c r="E79" s="8"/>
      <c r="F79" s="9"/>
      <c r="G79" s="9"/>
      <c r="H79" s="9"/>
      <c r="I79" s="8"/>
      <c r="J79" s="7"/>
      <c r="K79" s="20"/>
      <c r="L79" s="20"/>
      <c r="M79" s="9"/>
      <c r="N79" s="8"/>
    </row>
    <row r="80" spans="2:14" x14ac:dyDescent="0.25">
      <c r="B80" s="8"/>
      <c r="C80" s="8"/>
      <c r="D80" s="8"/>
      <c r="E80" s="8"/>
      <c r="F80" s="9"/>
      <c r="G80" s="9"/>
      <c r="H80" s="9"/>
      <c r="I80" s="8"/>
      <c r="J80" s="7"/>
      <c r="K80" s="20"/>
      <c r="L80" s="8"/>
      <c r="M80" s="9"/>
      <c r="N80" s="8"/>
    </row>
    <row r="81" spans="2:14" x14ac:dyDescent="0.25">
      <c r="B81" s="3"/>
      <c r="C81" s="3" t="s">
        <v>14</v>
      </c>
      <c r="D81" s="3"/>
      <c r="E81" s="10">
        <f>SUM(E8:E39)</f>
        <v>0</v>
      </c>
      <c r="F81" s="10"/>
      <c r="G81" s="10">
        <f>SUM(G8:G39)</f>
        <v>15516200</v>
      </c>
      <c r="H81" s="10"/>
      <c r="I81" s="10"/>
      <c r="J81" s="10"/>
      <c r="K81" s="8"/>
      <c r="L81" s="10"/>
      <c r="M81" s="10">
        <f>SUM(M9:M80)</f>
        <v>15356000</v>
      </c>
      <c r="N81" s="3"/>
    </row>
    <row r="82" spans="2:14" x14ac:dyDescent="0.25">
      <c r="B82" s="6"/>
      <c r="C82" s="6"/>
      <c r="D82" s="6"/>
      <c r="E82" s="6"/>
      <c r="F82" s="12"/>
      <c r="G82" s="12"/>
      <c r="H82" s="12"/>
      <c r="I82" s="6"/>
      <c r="J82" s="6"/>
      <c r="K82" s="3" t="s">
        <v>14</v>
      </c>
      <c r="L82" s="6"/>
      <c r="M82" s="12"/>
      <c r="N82" s="6"/>
    </row>
    <row r="83" spans="2:14" x14ac:dyDescent="0.25">
      <c r="B83" s="6"/>
      <c r="C83" s="6"/>
      <c r="D83" s="6"/>
      <c r="E83" s="6"/>
      <c r="F83" s="11"/>
      <c r="G83" s="12" t="s">
        <v>13</v>
      </c>
      <c r="H83" s="12"/>
      <c r="I83" s="6"/>
      <c r="J83" s="6"/>
      <c r="K83" s="6"/>
      <c r="L83" s="6"/>
      <c r="M83" s="12"/>
      <c r="N83" s="6"/>
    </row>
    <row r="84" spans="2:14" x14ac:dyDescent="0.25">
      <c r="B84" s="6"/>
      <c r="C84" s="8" t="s">
        <v>15</v>
      </c>
      <c r="D84" s="8" t="s">
        <v>16</v>
      </c>
      <c r="E84" s="8"/>
      <c r="F84" s="13"/>
      <c r="G84" s="9">
        <f>G81</f>
        <v>15516200</v>
      </c>
      <c r="H84" s="12"/>
      <c r="I84" s="6"/>
      <c r="J84" s="6"/>
      <c r="K84" s="6"/>
      <c r="L84" s="6"/>
      <c r="M84" s="12"/>
      <c r="N84" s="6"/>
    </row>
    <row r="85" spans="2:14" ht="15.75" thickBot="1" x14ac:dyDescent="0.3">
      <c r="B85" s="6"/>
      <c r="C85" s="14"/>
      <c r="D85" s="14" t="s">
        <v>17</v>
      </c>
      <c r="E85" s="14"/>
      <c r="F85" s="15"/>
      <c r="G85" s="15">
        <f>M81</f>
        <v>15356000</v>
      </c>
      <c r="H85" s="12"/>
      <c r="I85" s="6"/>
      <c r="J85" s="6"/>
      <c r="K85" s="6"/>
      <c r="L85" s="6"/>
      <c r="M85" s="12"/>
      <c r="N85" s="6"/>
    </row>
    <row r="86" spans="2:14" ht="15.75" thickBot="1" x14ac:dyDescent="0.3">
      <c r="B86" s="6"/>
      <c r="C86" s="16" t="s">
        <v>18</v>
      </c>
      <c r="D86" s="17" t="s">
        <v>19</v>
      </c>
      <c r="E86" s="17"/>
      <c r="F86" s="18"/>
      <c r="G86" s="19">
        <f>G84-G85</f>
        <v>160200</v>
      </c>
      <c r="H86" s="12"/>
      <c r="I86" s="6"/>
      <c r="J86" s="6"/>
      <c r="K86" s="6"/>
      <c r="L86" s="6"/>
      <c r="M86" s="12"/>
      <c r="N86" s="6"/>
    </row>
  </sheetData>
  <mergeCells count="4">
    <mergeCell ref="B4:M4"/>
    <mergeCell ref="B5:M5"/>
    <mergeCell ref="B6:G6"/>
    <mergeCell ref="J6:M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workbookViewId="0">
      <selection sqref="A1:M83"/>
    </sheetView>
  </sheetViews>
  <sheetFormatPr defaultRowHeight="15" x14ac:dyDescent="0.25"/>
  <cols>
    <col min="1" max="1" width="10.140625" bestFit="1" customWidth="1"/>
    <col min="2" max="2" width="13.7109375" customWidth="1"/>
    <col min="3" max="3" width="11" customWidth="1"/>
    <col min="6" max="6" width="11.28515625" bestFit="1" customWidth="1"/>
    <col min="9" max="9" width="11" customWidth="1"/>
    <col min="10" max="10" width="20.85546875" customWidth="1"/>
    <col min="11" max="11" width="24.7109375" customWidth="1"/>
    <col min="12" max="12" width="11.28515625" bestFit="1" customWidth="1"/>
    <col min="13" max="13" width="10" bestFit="1" customWidth="1"/>
  </cols>
  <sheetData>
    <row r="1" spans="1:13" ht="15.75" x14ac:dyDescent="0.25">
      <c r="A1" s="160" t="s">
        <v>20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2"/>
    </row>
    <row r="2" spans="1:13" ht="15.75" x14ac:dyDescent="0.2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2"/>
    </row>
    <row r="3" spans="1:13" ht="15.75" x14ac:dyDescent="0.25">
      <c r="A3" s="161" t="s">
        <v>1</v>
      </c>
      <c r="B3" s="161"/>
      <c r="C3" s="161"/>
      <c r="D3" s="161"/>
      <c r="E3" s="161"/>
      <c r="F3" s="161"/>
      <c r="G3" s="44"/>
      <c r="H3" s="44"/>
      <c r="I3" s="161" t="s">
        <v>2</v>
      </c>
      <c r="J3" s="161"/>
      <c r="K3" s="161"/>
      <c r="L3" s="161"/>
      <c r="M3" s="2"/>
    </row>
    <row r="4" spans="1:13" ht="30" x14ac:dyDescent="0.25">
      <c r="A4" s="3" t="s">
        <v>3</v>
      </c>
      <c r="B4" s="3" t="s">
        <v>4</v>
      </c>
      <c r="C4" s="3" t="s">
        <v>5</v>
      </c>
      <c r="D4" s="4" t="s">
        <v>6</v>
      </c>
      <c r="E4" s="5" t="s">
        <v>7</v>
      </c>
      <c r="F4" s="4" t="s">
        <v>8</v>
      </c>
      <c r="G4" s="5" t="s">
        <v>9</v>
      </c>
      <c r="H4" s="3"/>
      <c r="I4" s="3" t="s">
        <v>3</v>
      </c>
      <c r="J4" s="3" t="s">
        <v>10</v>
      </c>
      <c r="K4" s="3" t="s">
        <v>11</v>
      </c>
      <c r="L4" s="4" t="s">
        <v>8</v>
      </c>
      <c r="M4" s="5" t="s">
        <v>9</v>
      </c>
    </row>
    <row r="5" spans="1:13" ht="45" customHeight="1" x14ac:dyDescent="0.25">
      <c r="A5" s="7">
        <v>46119</v>
      </c>
      <c r="B5" s="20" t="s">
        <v>426</v>
      </c>
      <c r="C5" s="8" t="s">
        <v>123</v>
      </c>
      <c r="D5" s="8"/>
      <c r="E5" s="9"/>
      <c r="F5" s="9">
        <v>10000000</v>
      </c>
      <c r="G5" s="9" t="s">
        <v>13</v>
      </c>
      <c r="H5" s="8"/>
      <c r="I5" s="7"/>
      <c r="J5" s="20"/>
      <c r="K5" s="20"/>
      <c r="L5" s="45"/>
      <c r="M5" s="8"/>
    </row>
    <row r="6" spans="1:13" ht="30" x14ac:dyDescent="0.25">
      <c r="A6" s="7">
        <v>46126</v>
      </c>
      <c r="B6" s="20" t="s">
        <v>428</v>
      </c>
      <c r="C6" s="20" t="s">
        <v>219</v>
      </c>
      <c r="D6" s="8"/>
      <c r="E6" s="9"/>
      <c r="F6" s="9">
        <v>160200</v>
      </c>
      <c r="G6" s="38"/>
      <c r="H6" s="14"/>
      <c r="I6" s="7">
        <v>46119</v>
      </c>
      <c r="J6" s="20" t="s">
        <v>271</v>
      </c>
      <c r="K6" s="20" t="s">
        <v>427</v>
      </c>
      <c r="L6" s="45">
        <v>2500000</v>
      </c>
      <c r="M6" s="20">
        <v>701665831</v>
      </c>
    </row>
    <row r="7" spans="1:13" x14ac:dyDescent="0.25">
      <c r="A7" s="7"/>
      <c r="B7" s="8"/>
      <c r="C7" s="20"/>
      <c r="D7" s="8"/>
      <c r="E7" s="9"/>
      <c r="F7" s="9"/>
      <c r="G7" s="38"/>
      <c r="H7" s="14"/>
      <c r="I7" s="7"/>
      <c r="J7" s="20"/>
      <c r="K7" s="20"/>
      <c r="L7" s="9"/>
      <c r="M7" s="20"/>
    </row>
    <row r="8" spans="1:13" ht="36" customHeight="1" x14ac:dyDescent="0.25">
      <c r="A8" s="7">
        <v>46127</v>
      </c>
      <c r="B8" s="35" t="s">
        <v>429</v>
      </c>
      <c r="C8" s="36" t="s">
        <v>123</v>
      </c>
      <c r="D8" s="8"/>
      <c r="E8" s="9"/>
      <c r="F8" s="9">
        <v>15000000</v>
      </c>
      <c r="G8" s="36"/>
      <c r="H8" s="8"/>
      <c r="I8" s="7">
        <v>46127</v>
      </c>
      <c r="J8" s="20" t="s">
        <v>430</v>
      </c>
      <c r="K8" s="20" t="s">
        <v>485</v>
      </c>
      <c r="L8" s="9">
        <v>12000000</v>
      </c>
      <c r="M8" s="8" t="s">
        <v>13</v>
      </c>
    </row>
    <row r="9" spans="1:13" x14ac:dyDescent="0.25">
      <c r="A9" s="7"/>
      <c r="B9" s="20"/>
      <c r="C9" s="8"/>
      <c r="D9" s="8"/>
      <c r="E9" s="9"/>
      <c r="F9" s="9"/>
      <c r="G9" s="9"/>
      <c r="H9" s="8"/>
      <c r="I9" s="7"/>
      <c r="J9" s="35"/>
      <c r="K9" s="40"/>
      <c r="L9" s="9"/>
      <c r="M9" s="8"/>
    </row>
    <row r="10" spans="1:13" ht="37.5" customHeight="1" x14ac:dyDescent="0.25">
      <c r="A10" s="7"/>
      <c r="B10" s="8"/>
      <c r="C10" s="8"/>
      <c r="D10" s="8"/>
      <c r="E10" s="9"/>
      <c r="F10" s="9"/>
      <c r="G10" s="9"/>
      <c r="H10" s="8"/>
      <c r="I10" s="7">
        <v>46127</v>
      </c>
      <c r="J10" s="35" t="s">
        <v>430</v>
      </c>
      <c r="K10" s="32" t="s">
        <v>431</v>
      </c>
      <c r="L10" s="29">
        <v>2000000</v>
      </c>
      <c r="M10" s="8" t="s">
        <v>13</v>
      </c>
    </row>
    <row r="11" spans="1:13" x14ac:dyDescent="0.25">
      <c r="A11" s="7"/>
      <c r="B11" s="8"/>
      <c r="C11" s="8"/>
      <c r="D11" s="8"/>
      <c r="E11" s="9"/>
      <c r="F11" s="9"/>
      <c r="G11" s="9"/>
      <c r="H11" s="8"/>
      <c r="I11" s="7"/>
      <c r="J11" s="8"/>
      <c r="K11" s="20"/>
      <c r="L11" s="9"/>
      <c r="M11" s="8"/>
    </row>
    <row r="12" spans="1:13" ht="30" x14ac:dyDescent="0.25">
      <c r="A12" s="7"/>
      <c r="B12" s="8"/>
      <c r="C12" s="8"/>
      <c r="D12" s="8"/>
      <c r="E12" s="9"/>
      <c r="F12" s="9"/>
      <c r="G12" s="9"/>
      <c r="H12" s="8"/>
      <c r="I12" s="7">
        <v>46127</v>
      </c>
      <c r="J12" s="20" t="s">
        <v>432</v>
      </c>
      <c r="K12" s="20" t="s">
        <v>439</v>
      </c>
      <c r="L12" s="9">
        <v>100000</v>
      </c>
      <c r="M12" s="20">
        <v>774594652</v>
      </c>
    </row>
    <row r="13" spans="1:13" x14ac:dyDescent="0.25">
      <c r="A13" s="8"/>
      <c r="B13" s="8"/>
      <c r="C13" s="8"/>
      <c r="D13" s="8"/>
      <c r="E13" s="9"/>
      <c r="F13" s="9"/>
      <c r="G13" s="9"/>
      <c r="H13" s="8"/>
      <c r="I13" s="7"/>
      <c r="J13" s="8"/>
      <c r="K13" s="20"/>
      <c r="L13" s="9"/>
      <c r="M13" s="8"/>
    </row>
    <row r="14" spans="1:13" ht="33.75" customHeight="1" x14ac:dyDescent="0.25">
      <c r="A14" s="8"/>
      <c r="B14" s="8"/>
      <c r="C14" s="8"/>
      <c r="D14" s="8"/>
      <c r="E14" s="9"/>
      <c r="F14" s="9"/>
      <c r="G14" s="9"/>
      <c r="H14" s="8"/>
      <c r="I14" s="7">
        <v>46128</v>
      </c>
      <c r="J14" s="20" t="s">
        <v>433</v>
      </c>
      <c r="K14" s="20" t="s">
        <v>446</v>
      </c>
      <c r="L14" s="9">
        <v>3000000</v>
      </c>
      <c r="M14" s="20">
        <v>207806383</v>
      </c>
    </row>
    <row r="15" spans="1:13" x14ac:dyDescent="0.25">
      <c r="A15" s="8"/>
      <c r="B15" s="8"/>
      <c r="C15" s="8"/>
      <c r="D15" s="8"/>
      <c r="E15" s="9"/>
      <c r="F15" s="9"/>
      <c r="G15" s="9"/>
      <c r="H15" s="8"/>
      <c r="I15" s="7"/>
      <c r="J15" s="8"/>
      <c r="K15" s="20"/>
      <c r="L15" s="9"/>
      <c r="M15" s="8"/>
    </row>
    <row r="16" spans="1:13" ht="30" x14ac:dyDescent="0.25">
      <c r="A16" s="8"/>
      <c r="B16" s="8"/>
      <c r="C16" s="8"/>
      <c r="D16" s="8"/>
      <c r="E16" s="9"/>
      <c r="F16" s="9"/>
      <c r="G16" s="9"/>
      <c r="H16" s="8"/>
      <c r="I16" s="7">
        <v>46128</v>
      </c>
      <c r="J16" s="20" t="s">
        <v>434</v>
      </c>
      <c r="K16" s="20" t="s">
        <v>435</v>
      </c>
      <c r="L16" s="9">
        <v>123000</v>
      </c>
      <c r="M16" s="8">
        <v>706509517</v>
      </c>
    </row>
    <row r="17" spans="1:13" x14ac:dyDescent="0.25">
      <c r="A17" s="8"/>
      <c r="B17" s="8"/>
      <c r="C17" s="8"/>
      <c r="D17" s="8"/>
      <c r="E17" s="9"/>
      <c r="F17" s="9"/>
      <c r="G17" s="9"/>
      <c r="H17" s="8"/>
      <c r="I17" s="7"/>
      <c r="J17" s="20"/>
      <c r="K17" s="20"/>
      <c r="L17" s="9"/>
      <c r="M17" s="8"/>
    </row>
    <row r="18" spans="1:13" ht="45" x14ac:dyDescent="0.25">
      <c r="A18" s="8"/>
      <c r="B18" s="8"/>
      <c r="C18" s="8"/>
      <c r="D18" s="8"/>
      <c r="E18" s="9"/>
      <c r="F18" s="9"/>
      <c r="G18" s="9"/>
      <c r="H18" s="8"/>
      <c r="I18" s="7">
        <v>46128</v>
      </c>
      <c r="J18" s="20" t="s">
        <v>436</v>
      </c>
      <c r="K18" s="20" t="s">
        <v>437</v>
      </c>
      <c r="L18" s="9">
        <v>835000</v>
      </c>
      <c r="M18" s="8">
        <v>702750820</v>
      </c>
    </row>
    <row r="19" spans="1:13" ht="30" x14ac:dyDescent="0.25">
      <c r="A19" s="8"/>
      <c r="B19" s="8"/>
      <c r="C19" s="8"/>
      <c r="D19" s="8"/>
      <c r="E19" s="9"/>
      <c r="F19" s="9"/>
      <c r="G19" s="9"/>
      <c r="H19" s="8"/>
      <c r="I19" s="7"/>
      <c r="J19" s="8"/>
      <c r="K19" s="20" t="s">
        <v>438</v>
      </c>
      <c r="L19" s="9">
        <v>2000</v>
      </c>
      <c r="M19" s="8"/>
    </row>
    <row r="20" spans="1:13" ht="30" x14ac:dyDescent="0.25">
      <c r="A20" s="8"/>
      <c r="B20" s="8"/>
      <c r="C20" s="8"/>
      <c r="D20" s="8"/>
      <c r="E20" s="9"/>
      <c r="F20" s="9"/>
      <c r="G20" s="9"/>
      <c r="H20" s="8"/>
      <c r="I20" s="7">
        <v>46128</v>
      </c>
      <c r="J20" s="20" t="s">
        <v>409</v>
      </c>
      <c r="K20" s="20" t="s">
        <v>440</v>
      </c>
      <c r="L20" s="9">
        <v>165000</v>
      </c>
      <c r="M20" s="8">
        <v>774594652</v>
      </c>
    </row>
    <row r="21" spans="1:13" x14ac:dyDescent="0.25">
      <c r="A21" s="8"/>
      <c r="B21" s="8"/>
      <c r="C21" s="8"/>
      <c r="D21" s="8"/>
      <c r="E21" s="9"/>
      <c r="F21" s="9"/>
      <c r="G21" s="9"/>
      <c r="H21" s="8"/>
      <c r="I21" s="7"/>
      <c r="J21" s="8"/>
      <c r="K21" s="20"/>
      <c r="L21" s="9"/>
      <c r="M21" s="8"/>
    </row>
    <row r="22" spans="1:13" x14ac:dyDescent="0.25">
      <c r="A22" s="8"/>
      <c r="B22" s="8"/>
      <c r="C22" s="8"/>
      <c r="D22" s="8"/>
      <c r="E22" s="9"/>
      <c r="F22" s="9"/>
      <c r="G22" s="9"/>
      <c r="H22" s="8"/>
      <c r="I22" s="41">
        <v>46128</v>
      </c>
      <c r="J22" s="20" t="s">
        <v>408</v>
      </c>
      <c r="K22" s="20" t="s">
        <v>441</v>
      </c>
      <c r="L22" s="9">
        <v>10000</v>
      </c>
      <c r="M22" s="8">
        <v>792505557</v>
      </c>
    </row>
    <row r="23" spans="1:13" x14ac:dyDescent="0.25">
      <c r="A23" s="8"/>
      <c r="B23" s="8"/>
      <c r="C23" s="8"/>
      <c r="D23" s="8"/>
      <c r="E23" s="9"/>
      <c r="F23" s="9"/>
      <c r="G23" s="9"/>
      <c r="H23" s="8"/>
      <c r="I23" s="7">
        <v>46128</v>
      </c>
      <c r="J23" s="8" t="s">
        <v>443</v>
      </c>
      <c r="K23" s="20" t="s">
        <v>442</v>
      </c>
      <c r="L23" s="9">
        <v>52000</v>
      </c>
      <c r="M23" s="8">
        <v>709344939</v>
      </c>
    </row>
    <row r="24" spans="1:13" x14ac:dyDescent="0.25">
      <c r="A24" s="8"/>
      <c r="B24" s="8"/>
      <c r="C24" s="8"/>
      <c r="D24" s="8"/>
      <c r="E24" s="9"/>
      <c r="F24" s="9"/>
      <c r="G24" s="9"/>
      <c r="H24" s="8"/>
      <c r="I24" s="7"/>
      <c r="J24" s="8"/>
      <c r="K24" s="20"/>
      <c r="L24" s="9"/>
      <c r="M24" s="8"/>
    </row>
    <row r="25" spans="1:13" ht="35.25" customHeight="1" x14ac:dyDescent="0.25">
      <c r="A25" s="8"/>
      <c r="B25" s="8"/>
      <c r="C25" s="8"/>
      <c r="D25" s="8"/>
      <c r="E25" s="9"/>
      <c r="F25" s="9"/>
      <c r="G25" s="9"/>
      <c r="H25" s="8"/>
      <c r="I25" s="7">
        <v>46129</v>
      </c>
      <c r="J25" s="8" t="s">
        <v>25</v>
      </c>
      <c r="K25" s="20" t="s">
        <v>444</v>
      </c>
      <c r="L25" s="9">
        <v>265000</v>
      </c>
      <c r="M25" s="8">
        <v>754834591</v>
      </c>
    </row>
    <row r="26" spans="1:13" x14ac:dyDescent="0.25">
      <c r="A26" s="8"/>
      <c r="B26" s="8"/>
      <c r="C26" s="8"/>
      <c r="D26" s="8"/>
      <c r="E26" s="9"/>
      <c r="F26" s="9"/>
      <c r="G26" s="9"/>
      <c r="H26" s="8"/>
      <c r="I26" s="7"/>
      <c r="J26" s="8"/>
      <c r="K26" s="20"/>
      <c r="L26" s="9"/>
      <c r="M26" s="8"/>
    </row>
    <row r="27" spans="1:13" x14ac:dyDescent="0.25">
      <c r="A27" s="8"/>
      <c r="B27" s="8"/>
      <c r="C27" s="8"/>
      <c r="D27" s="8"/>
      <c r="E27" s="9"/>
      <c r="F27" s="9"/>
      <c r="G27" s="9"/>
      <c r="H27" s="8"/>
      <c r="I27" s="7">
        <v>46131</v>
      </c>
      <c r="J27" s="8" t="s">
        <v>329</v>
      </c>
      <c r="K27" s="20" t="s">
        <v>445</v>
      </c>
      <c r="L27" s="9">
        <v>14000</v>
      </c>
      <c r="M27" s="8" t="s">
        <v>13</v>
      </c>
    </row>
    <row r="28" spans="1:13" x14ac:dyDescent="0.25">
      <c r="A28" s="8"/>
      <c r="B28" s="8"/>
      <c r="C28" s="8"/>
      <c r="D28" s="8"/>
      <c r="E28" s="9"/>
      <c r="F28" s="9"/>
      <c r="G28" s="9"/>
      <c r="H28" s="8"/>
      <c r="I28" s="7"/>
      <c r="J28" s="20"/>
      <c r="K28" s="20"/>
      <c r="L28" s="9"/>
      <c r="M28" s="20"/>
    </row>
    <row r="29" spans="1:13" ht="45" x14ac:dyDescent="0.25">
      <c r="A29" s="8"/>
      <c r="B29" s="8"/>
      <c r="C29" s="8"/>
      <c r="D29" s="8"/>
      <c r="E29" s="9"/>
      <c r="F29" s="9"/>
      <c r="G29" s="9"/>
      <c r="H29" s="8"/>
      <c r="I29" s="7">
        <v>46132</v>
      </c>
      <c r="J29" s="8" t="s">
        <v>447</v>
      </c>
      <c r="K29" s="20" t="s">
        <v>448</v>
      </c>
      <c r="L29" s="9">
        <v>3633000</v>
      </c>
      <c r="M29" s="20" t="s">
        <v>449</v>
      </c>
    </row>
    <row r="30" spans="1:13" x14ac:dyDescent="0.25">
      <c r="A30" s="8"/>
      <c r="B30" s="8"/>
      <c r="C30" s="8"/>
      <c r="D30" s="8"/>
      <c r="E30" s="9"/>
      <c r="F30" s="9"/>
      <c r="G30" s="9"/>
      <c r="H30" s="8"/>
      <c r="I30" s="7"/>
      <c r="J30" s="8"/>
      <c r="K30" s="20" t="s">
        <v>450</v>
      </c>
      <c r="L30" s="9">
        <v>3000</v>
      </c>
      <c r="M30" s="8"/>
    </row>
    <row r="31" spans="1:13" ht="30" x14ac:dyDescent="0.25">
      <c r="A31" s="8"/>
      <c r="B31" s="8"/>
      <c r="C31" s="8"/>
      <c r="D31" s="8"/>
      <c r="E31" s="9"/>
      <c r="F31" s="9"/>
      <c r="G31" s="9"/>
      <c r="H31" s="8"/>
      <c r="I31" s="7">
        <v>46132</v>
      </c>
      <c r="J31" s="20" t="s">
        <v>473</v>
      </c>
      <c r="K31" s="20" t="s">
        <v>477</v>
      </c>
      <c r="L31" s="9">
        <v>264000</v>
      </c>
      <c r="M31" s="8">
        <v>776312022</v>
      </c>
    </row>
    <row r="32" spans="1:13" x14ac:dyDescent="0.25">
      <c r="A32" s="8"/>
      <c r="B32" s="8"/>
      <c r="C32" s="8"/>
      <c r="D32" s="8"/>
      <c r="E32" s="9"/>
      <c r="F32" s="9"/>
      <c r="G32" s="9"/>
      <c r="H32" s="8"/>
      <c r="I32" s="7"/>
      <c r="J32" s="8"/>
      <c r="K32" s="20"/>
      <c r="L32" s="9"/>
      <c r="M32" s="8"/>
    </row>
    <row r="33" spans="1:13" ht="30" x14ac:dyDescent="0.25">
      <c r="A33" s="8"/>
      <c r="B33" s="8"/>
      <c r="C33" s="8"/>
      <c r="D33" s="8"/>
      <c r="E33" s="9"/>
      <c r="F33" s="9"/>
      <c r="G33" s="9"/>
      <c r="H33" s="8"/>
      <c r="I33" s="7">
        <v>46133</v>
      </c>
      <c r="J33" s="8" t="s">
        <v>451</v>
      </c>
      <c r="K33" s="20" t="s">
        <v>452</v>
      </c>
      <c r="L33" s="9">
        <v>70000</v>
      </c>
      <c r="M33" s="8">
        <v>789860685</v>
      </c>
    </row>
    <row r="34" spans="1:13" x14ac:dyDescent="0.25">
      <c r="A34" s="8"/>
      <c r="B34" s="8"/>
      <c r="C34" s="8"/>
      <c r="D34" s="8"/>
      <c r="E34" s="9"/>
      <c r="F34" s="9"/>
      <c r="G34" s="9"/>
      <c r="H34" s="8"/>
      <c r="I34" s="7"/>
      <c r="J34" s="20"/>
      <c r="K34" s="20"/>
      <c r="L34" s="9"/>
      <c r="M34" s="8"/>
    </row>
    <row r="35" spans="1:13" ht="30" x14ac:dyDescent="0.25">
      <c r="A35" s="8"/>
      <c r="B35" s="8"/>
      <c r="C35" s="8"/>
      <c r="D35" s="8"/>
      <c r="E35" s="9"/>
      <c r="F35" s="9"/>
      <c r="G35" s="9"/>
      <c r="H35" s="8"/>
      <c r="I35" s="7">
        <v>46133</v>
      </c>
      <c r="J35" s="8"/>
      <c r="K35" s="20" t="s">
        <v>453</v>
      </c>
      <c r="L35" s="9">
        <v>2000</v>
      </c>
      <c r="M35" s="8"/>
    </row>
    <row r="36" spans="1:13" x14ac:dyDescent="0.25">
      <c r="A36" s="8"/>
      <c r="B36" s="8"/>
      <c r="C36" s="8"/>
      <c r="D36" s="8"/>
      <c r="E36" s="9"/>
      <c r="F36" s="9"/>
      <c r="G36" s="9"/>
      <c r="H36" s="8"/>
      <c r="I36" s="7"/>
      <c r="J36" s="20"/>
      <c r="K36" s="20"/>
      <c r="L36" s="9"/>
      <c r="M36" s="8"/>
    </row>
    <row r="37" spans="1:13" x14ac:dyDescent="0.25">
      <c r="A37" s="8"/>
      <c r="B37" s="8"/>
      <c r="C37" s="8"/>
      <c r="D37" s="8"/>
      <c r="E37" s="9"/>
      <c r="F37" s="9"/>
      <c r="G37" s="9"/>
      <c r="H37" s="8"/>
      <c r="I37" s="7"/>
      <c r="J37" s="20"/>
      <c r="K37" s="20"/>
      <c r="L37" s="9"/>
      <c r="M37" s="8"/>
    </row>
    <row r="38" spans="1:13" x14ac:dyDescent="0.25">
      <c r="A38" s="8"/>
      <c r="B38" s="8"/>
      <c r="C38" s="8"/>
      <c r="D38" s="8"/>
      <c r="E38" s="9"/>
      <c r="F38" s="9"/>
      <c r="G38" s="9"/>
      <c r="H38" s="8"/>
      <c r="I38" s="7"/>
      <c r="J38" s="20"/>
      <c r="K38" s="20"/>
      <c r="L38" s="9"/>
      <c r="M38" s="8"/>
    </row>
    <row r="39" spans="1:13" x14ac:dyDescent="0.25">
      <c r="A39" s="8"/>
      <c r="B39" s="8"/>
      <c r="C39" s="8"/>
      <c r="D39" s="8"/>
      <c r="E39" s="9"/>
      <c r="F39" s="9"/>
      <c r="G39" s="9"/>
      <c r="H39" s="8"/>
      <c r="I39" s="7"/>
      <c r="J39" s="20"/>
      <c r="K39" s="20"/>
      <c r="L39" s="9"/>
      <c r="M39" s="8"/>
    </row>
    <row r="40" spans="1:13" x14ac:dyDescent="0.25">
      <c r="A40" s="8"/>
      <c r="B40" s="8"/>
      <c r="C40" s="8"/>
      <c r="D40" s="8"/>
      <c r="E40" s="9"/>
      <c r="F40" s="9"/>
      <c r="G40" s="9"/>
      <c r="H40" s="8"/>
      <c r="I40" s="7"/>
      <c r="J40" s="20"/>
      <c r="K40" s="20"/>
      <c r="L40" s="9"/>
      <c r="M40" s="8"/>
    </row>
    <row r="41" spans="1:13" x14ac:dyDescent="0.25">
      <c r="A41" s="8"/>
      <c r="B41" s="8"/>
      <c r="C41" s="8"/>
      <c r="D41" s="8"/>
      <c r="E41" s="9"/>
      <c r="F41" s="9"/>
      <c r="G41" s="9"/>
      <c r="H41" s="8"/>
      <c r="I41" s="7"/>
      <c r="J41" s="20"/>
      <c r="K41" s="20"/>
      <c r="L41" s="9"/>
      <c r="M41" s="8"/>
    </row>
    <row r="42" spans="1:13" x14ac:dyDescent="0.25">
      <c r="A42" s="8"/>
      <c r="B42" s="8"/>
      <c r="C42" s="8"/>
      <c r="D42" s="8"/>
      <c r="E42" s="9"/>
      <c r="F42" s="9"/>
      <c r="G42" s="9"/>
      <c r="H42" s="8"/>
      <c r="I42" s="7"/>
      <c r="J42" s="20"/>
      <c r="K42" s="20"/>
      <c r="L42" s="9"/>
      <c r="M42" s="8"/>
    </row>
    <row r="43" spans="1:13" x14ac:dyDescent="0.25">
      <c r="A43" s="8"/>
      <c r="B43" s="8"/>
      <c r="C43" s="8"/>
      <c r="D43" s="8"/>
      <c r="E43" s="9"/>
      <c r="F43" s="9"/>
      <c r="G43" s="9"/>
      <c r="H43" s="8"/>
      <c r="I43" s="7"/>
      <c r="J43" s="20"/>
      <c r="K43" s="20"/>
      <c r="L43" s="9"/>
      <c r="M43" s="8"/>
    </row>
    <row r="44" spans="1:13" x14ac:dyDescent="0.25">
      <c r="A44" s="8"/>
      <c r="B44" s="8"/>
      <c r="C44" s="8"/>
      <c r="D44" s="8"/>
      <c r="E44" s="9"/>
      <c r="F44" s="9"/>
      <c r="G44" s="9"/>
      <c r="H44" s="8"/>
      <c r="I44" s="7"/>
      <c r="J44" s="20"/>
      <c r="K44" s="20"/>
      <c r="L44" s="9"/>
      <c r="M44" s="8"/>
    </row>
    <row r="45" spans="1:13" x14ac:dyDescent="0.25">
      <c r="A45" s="8"/>
      <c r="B45" s="8"/>
      <c r="C45" s="8"/>
      <c r="D45" s="8"/>
      <c r="E45" s="9"/>
      <c r="F45" s="9"/>
      <c r="G45" s="9"/>
      <c r="H45" s="8"/>
      <c r="I45" s="7"/>
      <c r="J45" s="20"/>
      <c r="K45" s="20"/>
      <c r="L45" s="9"/>
      <c r="M45" s="8"/>
    </row>
    <row r="46" spans="1:13" x14ac:dyDescent="0.25">
      <c r="A46" s="8"/>
      <c r="B46" s="8"/>
      <c r="C46" s="8"/>
      <c r="D46" s="8"/>
      <c r="E46" s="9"/>
      <c r="F46" s="9"/>
      <c r="G46" s="9"/>
      <c r="H46" s="8"/>
      <c r="I46" s="7"/>
      <c r="J46" s="20"/>
      <c r="K46" s="20"/>
      <c r="L46" s="9"/>
      <c r="M46" s="8"/>
    </row>
    <row r="47" spans="1:13" x14ac:dyDescent="0.25">
      <c r="A47" s="8"/>
      <c r="B47" s="8"/>
      <c r="C47" s="8"/>
      <c r="D47" s="8"/>
      <c r="E47" s="9"/>
      <c r="F47" s="9"/>
      <c r="G47" s="9"/>
      <c r="H47" s="8"/>
      <c r="I47" s="7"/>
      <c r="J47" s="20"/>
      <c r="K47" s="20"/>
      <c r="L47" s="9"/>
      <c r="M47" s="8"/>
    </row>
    <row r="48" spans="1:13" x14ac:dyDescent="0.25">
      <c r="A48" s="8"/>
      <c r="B48" s="8"/>
      <c r="C48" s="8"/>
      <c r="D48" s="8"/>
      <c r="E48" s="9"/>
      <c r="F48" s="9"/>
      <c r="G48" s="9"/>
      <c r="H48" s="8"/>
      <c r="I48" s="7"/>
      <c r="J48" s="20"/>
      <c r="K48" s="20"/>
      <c r="L48" s="9"/>
      <c r="M48" s="8"/>
    </row>
    <row r="49" spans="1:13" x14ac:dyDescent="0.25">
      <c r="A49" s="8"/>
      <c r="B49" s="8"/>
      <c r="C49" s="8"/>
      <c r="D49" s="8"/>
      <c r="E49" s="9"/>
      <c r="F49" s="9"/>
      <c r="G49" s="9"/>
      <c r="H49" s="8"/>
      <c r="I49" s="7"/>
      <c r="J49" s="20"/>
      <c r="K49" s="20"/>
      <c r="L49" s="9"/>
      <c r="M49" s="8"/>
    </row>
    <row r="50" spans="1:13" x14ac:dyDescent="0.25">
      <c r="A50" s="8"/>
      <c r="B50" s="8"/>
      <c r="C50" s="8"/>
      <c r="D50" s="8"/>
      <c r="E50" s="9"/>
      <c r="F50" s="9"/>
      <c r="G50" s="9"/>
      <c r="H50" s="8"/>
      <c r="I50" s="7"/>
      <c r="J50" s="20"/>
      <c r="K50" s="20"/>
      <c r="L50" s="9"/>
      <c r="M50" s="8"/>
    </row>
    <row r="51" spans="1:13" x14ac:dyDescent="0.25">
      <c r="A51" s="8"/>
      <c r="B51" s="8"/>
      <c r="C51" s="8"/>
      <c r="D51" s="8"/>
      <c r="E51" s="9"/>
      <c r="F51" s="9"/>
      <c r="G51" s="9"/>
      <c r="H51" s="8"/>
      <c r="I51" s="7"/>
      <c r="J51" s="20"/>
      <c r="K51" s="20"/>
      <c r="L51" s="9"/>
      <c r="M51" s="8"/>
    </row>
    <row r="52" spans="1:13" x14ac:dyDescent="0.25">
      <c r="A52" s="8"/>
      <c r="B52" s="8"/>
      <c r="C52" s="8"/>
      <c r="D52" s="8"/>
      <c r="E52" s="9"/>
      <c r="F52" s="9"/>
      <c r="G52" s="9"/>
      <c r="H52" s="8"/>
      <c r="I52" s="7"/>
      <c r="J52" s="20"/>
      <c r="K52" s="20"/>
      <c r="L52" s="9"/>
      <c r="M52" s="8"/>
    </row>
    <row r="53" spans="1:13" x14ac:dyDescent="0.25">
      <c r="A53" s="8"/>
      <c r="B53" s="8"/>
      <c r="C53" s="8"/>
      <c r="D53" s="8"/>
      <c r="E53" s="9"/>
      <c r="F53" s="9"/>
      <c r="G53" s="9"/>
      <c r="H53" s="8"/>
      <c r="I53" s="7"/>
      <c r="J53" s="20"/>
      <c r="K53" s="20"/>
      <c r="L53" s="9"/>
      <c r="M53" s="8"/>
    </row>
    <row r="54" spans="1:13" x14ac:dyDescent="0.25">
      <c r="A54" s="8"/>
      <c r="B54" s="8"/>
      <c r="C54" s="8"/>
      <c r="D54" s="8"/>
      <c r="E54" s="9"/>
      <c r="F54" s="9"/>
      <c r="G54" s="9"/>
      <c r="H54" s="8"/>
      <c r="I54" s="7"/>
      <c r="J54" s="20"/>
      <c r="K54" s="20"/>
      <c r="L54" s="9"/>
      <c r="M54" s="8"/>
    </row>
    <row r="55" spans="1:13" x14ac:dyDescent="0.25">
      <c r="A55" s="8"/>
      <c r="B55" s="8"/>
      <c r="C55" s="8"/>
      <c r="D55" s="8"/>
      <c r="E55" s="9"/>
      <c r="F55" s="9"/>
      <c r="G55" s="9"/>
      <c r="H55" s="8"/>
      <c r="I55" s="7"/>
      <c r="J55" s="20"/>
      <c r="K55" s="20"/>
      <c r="L55" s="9"/>
      <c r="M55" s="8"/>
    </row>
    <row r="56" spans="1:13" x14ac:dyDescent="0.25">
      <c r="A56" s="8"/>
      <c r="B56" s="8"/>
      <c r="C56" s="8"/>
      <c r="D56" s="8"/>
      <c r="E56" s="9"/>
      <c r="F56" s="9"/>
      <c r="G56" s="9"/>
      <c r="H56" s="8"/>
      <c r="I56" s="7"/>
      <c r="J56" s="20"/>
      <c r="K56" s="20"/>
      <c r="L56" s="9"/>
      <c r="M56" s="8"/>
    </row>
    <row r="57" spans="1:13" x14ac:dyDescent="0.25">
      <c r="A57" s="8"/>
      <c r="B57" s="8"/>
      <c r="C57" s="8"/>
      <c r="D57" s="8"/>
      <c r="E57" s="9"/>
      <c r="F57" s="9"/>
      <c r="G57" s="9"/>
      <c r="H57" s="8"/>
      <c r="I57" s="7"/>
      <c r="J57" s="20"/>
      <c r="K57" s="20"/>
      <c r="L57" s="9"/>
      <c r="M57" s="8"/>
    </row>
    <row r="58" spans="1:13" x14ac:dyDescent="0.25">
      <c r="A58" s="8"/>
      <c r="B58" s="8"/>
      <c r="C58" s="8"/>
      <c r="D58" s="8"/>
      <c r="E58" s="9"/>
      <c r="F58" s="9"/>
      <c r="G58" s="9"/>
      <c r="H58" s="8"/>
      <c r="I58" s="7"/>
      <c r="J58" s="20"/>
      <c r="K58" s="20"/>
      <c r="L58" s="9"/>
      <c r="M58" s="8"/>
    </row>
    <row r="59" spans="1:13" x14ac:dyDescent="0.25">
      <c r="A59" s="8"/>
      <c r="B59" s="8"/>
      <c r="C59" s="8"/>
      <c r="D59" s="8"/>
      <c r="E59" s="9"/>
      <c r="F59" s="9"/>
      <c r="G59" s="9"/>
      <c r="H59" s="8"/>
      <c r="I59" s="7"/>
      <c r="J59" s="20"/>
      <c r="K59" s="20"/>
      <c r="L59" s="9"/>
      <c r="M59" s="8"/>
    </row>
    <row r="60" spans="1:13" x14ac:dyDescent="0.25">
      <c r="A60" s="8"/>
      <c r="B60" s="8"/>
      <c r="C60" s="8"/>
      <c r="D60" s="8"/>
      <c r="E60" s="9"/>
      <c r="F60" s="9"/>
      <c r="G60" s="9"/>
      <c r="H60" s="8"/>
      <c r="I60" s="7"/>
      <c r="J60" s="20"/>
      <c r="K60" s="20"/>
      <c r="L60" s="9"/>
      <c r="M60" s="8"/>
    </row>
    <row r="61" spans="1:13" x14ac:dyDescent="0.25">
      <c r="A61" s="8"/>
      <c r="B61" s="8"/>
      <c r="C61" s="8"/>
      <c r="D61" s="8"/>
      <c r="E61" s="9"/>
      <c r="F61" s="9"/>
      <c r="G61" s="9"/>
      <c r="H61" s="8"/>
      <c r="I61" s="7"/>
      <c r="J61" s="20"/>
      <c r="K61" s="20"/>
      <c r="L61" s="9"/>
      <c r="M61" s="8"/>
    </row>
    <row r="62" spans="1:13" x14ac:dyDescent="0.25">
      <c r="A62" s="8"/>
      <c r="B62" s="8"/>
      <c r="C62" s="8"/>
      <c r="D62" s="8"/>
      <c r="E62" s="9"/>
      <c r="F62" s="9"/>
      <c r="G62" s="9"/>
      <c r="H62" s="8"/>
      <c r="I62" s="7"/>
      <c r="J62" s="20"/>
      <c r="K62" s="20"/>
      <c r="L62" s="9"/>
      <c r="M62" s="8"/>
    </row>
    <row r="63" spans="1:13" x14ac:dyDescent="0.25">
      <c r="A63" s="8"/>
      <c r="B63" s="8"/>
      <c r="C63" s="8"/>
      <c r="D63" s="8"/>
      <c r="E63" s="9"/>
      <c r="F63" s="9"/>
      <c r="G63" s="9"/>
      <c r="H63" s="8"/>
      <c r="I63" s="7"/>
      <c r="J63" s="20"/>
      <c r="K63" s="20"/>
      <c r="L63" s="9"/>
      <c r="M63" s="8"/>
    </row>
    <row r="64" spans="1:13" x14ac:dyDescent="0.25">
      <c r="A64" s="8"/>
      <c r="B64" s="8"/>
      <c r="C64" s="8"/>
      <c r="D64" s="8"/>
      <c r="E64" s="9"/>
      <c r="F64" s="9"/>
      <c r="G64" s="9"/>
      <c r="H64" s="8"/>
      <c r="I64" s="7"/>
      <c r="J64" s="20"/>
      <c r="K64" s="20"/>
      <c r="L64" s="9"/>
      <c r="M64" s="8"/>
    </row>
    <row r="65" spans="1:13" x14ac:dyDescent="0.25">
      <c r="A65" s="8"/>
      <c r="B65" s="8"/>
      <c r="C65" s="8"/>
      <c r="D65" s="8"/>
      <c r="E65" s="9"/>
      <c r="F65" s="9"/>
      <c r="G65" s="9"/>
      <c r="H65" s="8"/>
      <c r="I65" s="7"/>
      <c r="J65" s="20"/>
      <c r="K65" s="20"/>
      <c r="L65" s="9"/>
      <c r="M65" s="8"/>
    </row>
    <row r="66" spans="1:13" x14ac:dyDescent="0.25">
      <c r="A66" s="8"/>
      <c r="B66" s="8"/>
      <c r="C66" s="8"/>
      <c r="D66" s="8"/>
      <c r="E66" s="9"/>
      <c r="F66" s="9"/>
      <c r="G66" s="9"/>
      <c r="H66" s="8"/>
      <c r="I66" s="7"/>
      <c r="J66" s="20"/>
      <c r="K66" s="20"/>
      <c r="L66" s="9"/>
      <c r="M66" s="8"/>
    </row>
    <row r="67" spans="1:13" x14ac:dyDescent="0.25">
      <c r="A67" s="8"/>
      <c r="B67" s="8"/>
      <c r="C67" s="8"/>
      <c r="D67" s="8"/>
      <c r="E67" s="9"/>
      <c r="F67" s="9"/>
      <c r="G67" s="9"/>
      <c r="H67" s="8"/>
      <c r="I67" s="7"/>
      <c r="J67" s="20"/>
      <c r="K67" s="20"/>
      <c r="L67" s="9"/>
      <c r="M67" s="8"/>
    </row>
    <row r="68" spans="1:13" x14ac:dyDescent="0.25">
      <c r="A68" s="8"/>
      <c r="B68" s="8"/>
      <c r="C68" s="8"/>
      <c r="D68" s="8"/>
      <c r="E68" s="9"/>
      <c r="F68" s="9"/>
      <c r="G68" s="9"/>
      <c r="H68" s="8"/>
      <c r="I68" s="7"/>
      <c r="J68" s="20"/>
      <c r="K68" s="20"/>
      <c r="L68" s="9"/>
      <c r="M68" s="8"/>
    </row>
    <row r="69" spans="1:13" x14ac:dyDescent="0.25">
      <c r="A69" s="8"/>
      <c r="B69" s="8"/>
      <c r="C69" s="8"/>
      <c r="D69" s="8"/>
      <c r="E69" s="9"/>
      <c r="F69" s="9"/>
      <c r="G69" s="9"/>
      <c r="H69" s="8"/>
      <c r="I69" s="7"/>
      <c r="J69" s="20"/>
      <c r="K69" s="20"/>
      <c r="L69" s="9"/>
      <c r="M69" s="20"/>
    </row>
    <row r="70" spans="1:13" x14ac:dyDescent="0.25">
      <c r="A70" s="8"/>
      <c r="B70" s="8"/>
      <c r="C70" s="8"/>
      <c r="D70" s="8"/>
      <c r="E70" s="9"/>
      <c r="F70" s="9"/>
      <c r="G70" s="9"/>
      <c r="H70" s="8"/>
      <c r="I70" s="7"/>
      <c r="J70" s="20"/>
      <c r="K70" s="20"/>
      <c r="L70" s="9"/>
      <c r="M70" s="8"/>
    </row>
    <row r="71" spans="1:13" x14ac:dyDescent="0.25">
      <c r="A71" s="8"/>
      <c r="B71" s="8"/>
      <c r="C71" s="8"/>
      <c r="D71" s="8"/>
      <c r="E71" s="9"/>
      <c r="F71" s="9"/>
      <c r="G71" s="9"/>
      <c r="H71" s="8"/>
      <c r="I71" s="7"/>
      <c r="J71" s="20"/>
      <c r="K71" s="20"/>
      <c r="L71" s="9"/>
      <c r="M71" s="8"/>
    </row>
    <row r="72" spans="1:13" x14ac:dyDescent="0.25">
      <c r="A72" s="8"/>
      <c r="B72" s="8"/>
      <c r="C72" s="8"/>
      <c r="D72" s="8"/>
      <c r="E72" s="9"/>
      <c r="F72" s="9"/>
      <c r="G72" s="9"/>
      <c r="H72" s="8"/>
      <c r="I72" s="7"/>
      <c r="J72" s="20"/>
      <c r="K72" s="20"/>
      <c r="L72" s="9"/>
      <c r="M72" s="8"/>
    </row>
    <row r="73" spans="1:13" x14ac:dyDescent="0.25">
      <c r="A73" s="8"/>
      <c r="B73" s="8"/>
      <c r="C73" s="8"/>
      <c r="D73" s="8"/>
      <c r="E73" s="9"/>
      <c r="F73" s="9"/>
      <c r="G73" s="9"/>
      <c r="H73" s="8"/>
      <c r="I73" s="7"/>
      <c r="J73" s="20"/>
      <c r="K73" s="20"/>
      <c r="L73" s="9"/>
      <c r="M73" s="8"/>
    </row>
    <row r="74" spans="1:13" x14ac:dyDescent="0.25">
      <c r="A74" s="8"/>
      <c r="B74" s="8"/>
      <c r="C74" s="8"/>
      <c r="D74" s="8"/>
      <c r="E74" s="9"/>
      <c r="F74" s="9"/>
      <c r="G74" s="9"/>
      <c r="H74" s="8"/>
      <c r="I74" s="7"/>
      <c r="J74" s="20"/>
      <c r="K74" s="20"/>
      <c r="L74" s="9"/>
      <c r="M74" s="8"/>
    </row>
    <row r="75" spans="1:13" x14ac:dyDescent="0.25">
      <c r="A75" s="8"/>
      <c r="B75" s="8"/>
      <c r="C75" s="8"/>
      <c r="D75" s="8"/>
      <c r="E75" s="9"/>
      <c r="F75" s="9"/>
      <c r="G75" s="9"/>
      <c r="H75" s="8"/>
      <c r="I75" s="7"/>
      <c r="J75" s="20"/>
      <c r="K75" s="20"/>
      <c r="L75" s="9"/>
      <c r="M75" s="8"/>
    </row>
    <row r="76" spans="1:13" x14ac:dyDescent="0.25">
      <c r="A76" s="8"/>
      <c r="B76" s="8"/>
      <c r="C76" s="8"/>
      <c r="D76" s="8"/>
      <c r="E76" s="9"/>
      <c r="F76" s="9"/>
      <c r="G76" s="9"/>
      <c r="H76" s="8"/>
      <c r="I76" s="7"/>
      <c r="J76" s="20"/>
      <c r="K76" s="20"/>
      <c r="L76" s="9"/>
      <c r="M76" s="8"/>
    </row>
    <row r="77" spans="1:13" x14ac:dyDescent="0.25">
      <c r="A77" s="8"/>
      <c r="B77" s="8"/>
      <c r="C77" s="8"/>
      <c r="D77" s="8"/>
      <c r="E77" s="9"/>
      <c r="F77" s="9"/>
      <c r="G77" s="9"/>
      <c r="H77" s="8"/>
      <c r="I77" s="7"/>
      <c r="J77" s="20"/>
      <c r="K77" s="8"/>
      <c r="L77" s="9"/>
      <c r="M77" s="8"/>
    </row>
    <row r="78" spans="1:13" x14ac:dyDescent="0.25">
      <c r="A78" s="3"/>
      <c r="B78" s="3" t="s">
        <v>14</v>
      </c>
      <c r="C78" s="3"/>
      <c r="D78" s="10">
        <f>SUM(D5:D36)</f>
        <v>0</v>
      </c>
      <c r="E78" s="10"/>
      <c r="F78" s="10">
        <f>SUM(F5:F36)</f>
        <v>25160200</v>
      </c>
      <c r="G78" s="10"/>
      <c r="H78" s="10"/>
      <c r="I78" s="10"/>
      <c r="J78" s="8"/>
      <c r="K78" s="10"/>
      <c r="L78" s="10">
        <f>SUM(L6:L77)</f>
        <v>25038000</v>
      </c>
      <c r="M78" s="3"/>
    </row>
    <row r="79" spans="1:13" x14ac:dyDescent="0.25">
      <c r="A79" s="6"/>
      <c r="B79" s="6"/>
      <c r="C79" s="6"/>
      <c r="D79" s="6"/>
      <c r="E79" s="12"/>
      <c r="F79" s="12"/>
      <c r="G79" s="12"/>
      <c r="H79" s="6"/>
      <c r="I79" s="6"/>
      <c r="J79" s="3" t="s">
        <v>14</v>
      </c>
      <c r="K79" s="6"/>
      <c r="L79" s="12"/>
      <c r="M79" s="6"/>
    </row>
    <row r="80" spans="1:13" x14ac:dyDescent="0.25">
      <c r="A80" s="6"/>
      <c r="B80" s="6"/>
      <c r="C80" s="6"/>
      <c r="D80" s="6"/>
      <c r="E80" s="11"/>
      <c r="F80" s="12" t="s">
        <v>13</v>
      </c>
      <c r="G80" s="12"/>
      <c r="H80" s="6"/>
      <c r="I80" s="6"/>
      <c r="J80" s="6"/>
      <c r="K80" s="6"/>
      <c r="L80" s="12"/>
      <c r="M80" s="6"/>
    </row>
    <row r="81" spans="1:13" x14ac:dyDescent="0.25">
      <c r="A81" s="6"/>
      <c r="B81" s="8" t="s">
        <v>15</v>
      </c>
      <c r="C81" s="8" t="s">
        <v>16</v>
      </c>
      <c r="D81" s="8"/>
      <c r="E81" s="13"/>
      <c r="F81" s="9">
        <f>F78</f>
        <v>25160200</v>
      </c>
      <c r="G81" s="12"/>
      <c r="H81" s="6"/>
      <c r="I81" s="6"/>
      <c r="J81" s="6"/>
      <c r="K81" s="6"/>
      <c r="L81" s="12"/>
      <c r="M81" s="6"/>
    </row>
    <row r="82" spans="1:13" ht="15.75" thickBot="1" x14ac:dyDescent="0.3">
      <c r="A82" s="6"/>
      <c r="B82" s="14"/>
      <c r="C82" s="14" t="s">
        <v>17</v>
      </c>
      <c r="D82" s="14"/>
      <c r="E82" s="15"/>
      <c r="F82" s="15">
        <f>L78</f>
        <v>25038000</v>
      </c>
      <c r="G82" s="12"/>
      <c r="H82" s="6"/>
      <c r="I82" s="6"/>
      <c r="J82" s="6"/>
      <c r="K82" s="6"/>
      <c r="L82" s="12"/>
      <c r="M82" s="6"/>
    </row>
    <row r="83" spans="1:13" ht="15.75" thickBot="1" x14ac:dyDescent="0.3">
      <c r="A83" s="6"/>
      <c r="B83" s="16" t="s">
        <v>18</v>
      </c>
      <c r="C83" s="17" t="s">
        <v>19</v>
      </c>
      <c r="D83" s="17"/>
      <c r="E83" s="18"/>
      <c r="F83" s="19">
        <f>F81-F82</f>
        <v>122200</v>
      </c>
      <c r="G83" s="12"/>
      <c r="H83" s="6"/>
      <c r="I83" s="6"/>
      <c r="J83" s="6"/>
      <c r="K83" s="6"/>
      <c r="L83" s="12"/>
      <c r="M83" s="6"/>
    </row>
  </sheetData>
  <mergeCells count="4">
    <mergeCell ref="A1:L1"/>
    <mergeCell ref="A2:L2"/>
    <mergeCell ref="A3:F3"/>
    <mergeCell ref="I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9"/>
  <sheetViews>
    <sheetView topLeftCell="E7" workbookViewId="0">
      <selection activeCell="N35" sqref="N35"/>
    </sheetView>
  </sheetViews>
  <sheetFormatPr defaultRowHeight="15" x14ac:dyDescent="0.25"/>
  <cols>
    <col min="2" max="2" width="10.140625" bestFit="1" customWidth="1"/>
    <col min="3" max="3" width="13.140625" customWidth="1"/>
    <col min="4" max="4" width="10" customWidth="1"/>
    <col min="7" max="7" width="11.28515625" bestFit="1" customWidth="1"/>
    <col min="10" max="10" width="10.140625" bestFit="1" customWidth="1"/>
    <col min="11" max="11" width="19" customWidth="1"/>
    <col min="12" max="12" width="22.42578125" customWidth="1"/>
    <col min="13" max="13" width="12.140625" customWidth="1"/>
    <col min="14" max="14" width="14.140625" bestFit="1" customWidth="1"/>
  </cols>
  <sheetData>
    <row r="2" spans="2:14" ht="15.75" x14ac:dyDescent="0.25">
      <c r="B2" s="160" t="s">
        <v>20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2"/>
    </row>
    <row r="3" spans="2:14" ht="15.75" x14ac:dyDescent="0.25">
      <c r="B3" s="160" t="s">
        <v>0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2"/>
    </row>
    <row r="4" spans="2:14" ht="15.75" x14ac:dyDescent="0.25">
      <c r="B4" s="161" t="s">
        <v>1</v>
      </c>
      <c r="C4" s="161"/>
      <c r="D4" s="161"/>
      <c r="E4" s="161"/>
      <c r="F4" s="161"/>
      <c r="G4" s="161"/>
      <c r="H4" s="46"/>
      <c r="I4" s="46"/>
      <c r="J4" s="161" t="s">
        <v>2</v>
      </c>
      <c r="K4" s="161"/>
      <c r="L4" s="161"/>
      <c r="M4" s="161"/>
      <c r="N4" s="2"/>
    </row>
    <row r="5" spans="2:14" ht="30" x14ac:dyDescent="0.25">
      <c r="B5" s="3" t="s">
        <v>3</v>
      </c>
      <c r="C5" s="3" t="s">
        <v>4</v>
      </c>
      <c r="D5" s="3" t="s">
        <v>5</v>
      </c>
      <c r="E5" s="4" t="s">
        <v>6</v>
      </c>
      <c r="F5" s="5" t="s">
        <v>7</v>
      </c>
      <c r="G5" s="4" t="s">
        <v>8</v>
      </c>
      <c r="H5" s="5" t="s">
        <v>9</v>
      </c>
      <c r="I5" s="3"/>
      <c r="J5" s="3" t="s">
        <v>3</v>
      </c>
      <c r="K5" s="3" t="s">
        <v>10</v>
      </c>
      <c r="L5" s="3" t="s">
        <v>11</v>
      </c>
      <c r="M5" s="4" t="s">
        <v>8</v>
      </c>
      <c r="N5" s="5" t="s">
        <v>9</v>
      </c>
    </row>
    <row r="6" spans="2:14" x14ac:dyDescent="0.25">
      <c r="B6" s="7">
        <v>46133</v>
      </c>
      <c r="C6" s="20" t="s">
        <v>454</v>
      </c>
      <c r="D6" s="8" t="s">
        <v>123</v>
      </c>
      <c r="E6" s="8"/>
      <c r="F6" s="9"/>
      <c r="G6" s="9">
        <v>14000000</v>
      </c>
      <c r="H6" s="9" t="s">
        <v>479</v>
      </c>
      <c r="I6" s="8" t="s">
        <v>480</v>
      </c>
      <c r="J6" s="7"/>
      <c r="K6" s="20"/>
      <c r="L6" s="20"/>
      <c r="M6" s="45"/>
      <c r="N6" s="8"/>
    </row>
    <row r="7" spans="2:14" ht="40.5" customHeight="1" x14ac:dyDescent="0.25">
      <c r="B7" s="7">
        <v>46133</v>
      </c>
      <c r="C7" s="20" t="s">
        <v>455</v>
      </c>
      <c r="D7" s="20" t="s">
        <v>219</v>
      </c>
      <c r="E7" s="8"/>
      <c r="F7" s="9"/>
      <c r="G7" s="9">
        <v>122200</v>
      </c>
      <c r="H7" s="38"/>
      <c r="I7" s="14"/>
      <c r="J7" s="7">
        <v>46133</v>
      </c>
      <c r="K7" s="20" t="s">
        <v>457</v>
      </c>
      <c r="L7" s="20" t="s">
        <v>456</v>
      </c>
      <c r="M7" s="45">
        <v>115000</v>
      </c>
      <c r="N7" s="20">
        <v>700742461</v>
      </c>
    </row>
    <row r="8" spans="2:14" x14ac:dyDescent="0.25">
      <c r="B8" s="7"/>
      <c r="C8" s="8"/>
      <c r="D8" s="20"/>
      <c r="E8" s="8"/>
      <c r="F8" s="9"/>
      <c r="G8" s="9"/>
      <c r="H8" s="38"/>
      <c r="I8" s="14"/>
      <c r="J8" s="7"/>
      <c r="K8" s="20"/>
      <c r="L8" s="20"/>
      <c r="M8" s="9"/>
      <c r="N8" s="20"/>
    </row>
    <row r="9" spans="2:14" ht="30" x14ac:dyDescent="0.25">
      <c r="B9" s="7">
        <v>46136</v>
      </c>
      <c r="C9" s="35" t="s">
        <v>502</v>
      </c>
      <c r="D9" s="36" t="s">
        <v>123</v>
      </c>
      <c r="E9" s="8"/>
      <c r="F9" s="9"/>
      <c r="G9" s="9">
        <v>2000000</v>
      </c>
      <c r="H9" s="36"/>
      <c r="I9" s="8"/>
      <c r="J9" s="7">
        <v>46133</v>
      </c>
      <c r="K9" s="20" t="s">
        <v>458</v>
      </c>
      <c r="L9" s="20" t="s">
        <v>459</v>
      </c>
      <c r="M9" s="9">
        <v>350000</v>
      </c>
      <c r="N9" s="8">
        <v>700742461</v>
      </c>
    </row>
    <row r="10" spans="2:14" x14ac:dyDescent="0.25">
      <c r="B10" s="7"/>
      <c r="C10" s="20"/>
      <c r="D10" s="8"/>
      <c r="E10" s="8"/>
      <c r="F10" s="9"/>
      <c r="G10" s="9"/>
      <c r="H10" s="9"/>
      <c r="I10" s="8"/>
      <c r="J10" s="7"/>
      <c r="K10" s="35"/>
      <c r="L10" s="40"/>
      <c r="M10" s="9"/>
      <c r="N10" s="8"/>
    </row>
    <row r="11" spans="2:14" ht="49.5" customHeight="1" x14ac:dyDescent="0.25">
      <c r="B11" s="7"/>
      <c r="C11" s="8"/>
      <c r="D11" s="8"/>
      <c r="E11" s="8"/>
      <c r="F11" s="9"/>
      <c r="G11" s="9"/>
      <c r="H11" s="9"/>
      <c r="I11" s="8"/>
      <c r="J11" s="7">
        <v>46133</v>
      </c>
      <c r="K11" s="35" t="s">
        <v>460</v>
      </c>
      <c r="L11" s="32" t="s">
        <v>461</v>
      </c>
      <c r="M11" s="29">
        <v>650000</v>
      </c>
      <c r="N11" s="8">
        <v>704509775</v>
      </c>
    </row>
    <row r="12" spans="2:14" x14ac:dyDescent="0.25">
      <c r="B12" s="7"/>
      <c r="C12" s="8"/>
      <c r="D12" s="8"/>
      <c r="E12" s="8"/>
      <c r="F12" s="9"/>
      <c r="G12" s="9"/>
      <c r="H12" s="9"/>
      <c r="I12" s="8"/>
      <c r="J12" s="7"/>
      <c r="K12" s="8"/>
      <c r="L12" s="20"/>
      <c r="M12" s="9"/>
      <c r="N12" s="8"/>
    </row>
    <row r="13" spans="2:14" ht="45" x14ac:dyDescent="0.25">
      <c r="B13" s="7"/>
      <c r="C13" s="8"/>
      <c r="D13" s="8"/>
      <c r="E13" s="8"/>
      <c r="F13" s="9"/>
      <c r="G13" s="9"/>
      <c r="H13" s="9"/>
      <c r="I13" s="8"/>
      <c r="J13" s="7">
        <v>46133</v>
      </c>
      <c r="K13" s="20" t="s">
        <v>462</v>
      </c>
      <c r="L13" s="20" t="s">
        <v>515</v>
      </c>
      <c r="M13" s="9">
        <v>2500000</v>
      </c>
      <c r="N13" s="20">
        <v>702507050</v>
      </c>
    </row>
    <row r="14" spans="2:14" x14ac:dyDescent="0.25">
      <c r="B14" s="8"/>
      <c r="C14" s="8"/>
      <c r="D14" s="8"/>
      <c r="E14" s="8"/>
      <c r="F14" s="9"/>
      <c r="G14" s="9"/>
      <c r="H14" s="9"/>
      <c r="I14" s="8"/>
      <c r="J14" s="7"/>
      <c r="K14" s="8"/>
      <c r="L14" s="20"/>
      <c r="M14" s="9"/>
      <c r="N14" s="8"/>
    </row>
    <row r="15" spans="2:14" ht="45" x14ac:dyDescent="0.25">
      <c r="B15" s="8"/>
      <c r="C15" s="8"/>
      <c r="D15" s="8"/>
      <c r="E15" s="8"/>
      <c r="F15" s="9"/>
      <c r="G15" s="9"/>
      <c r="H15" s="9"/>
      <c r="I15" s="8"/>
      <c r="J15" s="7">
        <v>46133</v>
      </c>
      <c r="K15" s="20" t="s">
        <v>463</v>
      </c>
      <c r="L15" s="20" t="s">
        <v>464</v>
      </c>
      <c r="M15" s="9">
        <v>35000</v>
      </c>
      <c r="N15" s="20">
        <v>789860685</v>
      </c>
    </row>
    <row r="16" spans="2:14" x14ac:dyDescent="0.25">
      <c r="B16" s="8"/>
      <c r="C16" s="8"/>
      <c r="D16" s="8"/>
      <c r="E16" s="8"/>
      <c r="F16" s="9"/>
      <c r="G16" s="9"/>
      <c r="H16" s="9"/>
      <c r="I16" s="8"/>
      <c r="J16" s="7"/>
      <c r="K16" s="8"/>
      <c r="L16" s="20"/>
      <c r="M16" s="9"/>
      <c r="N16" s="8"/>
    </row>
    <row r="17" spans="2:14" ht="36" customHeight="1" x14ac:dyDescent="0.25">
      <c r="B17" s="8"/>
      <c r="C17" s="8"/>
      <c r="D17" s="8"/>
      <c r="E17" s="8"/>
      <c r="F17" s="9"/>
      <c r="G17" s="9"/>
      <c r="H17" s="9"/>
      <c r="I17" s="8"/>
      <c r="J17" s="7">
        <v>46133</v>
      </c>
      <c r="K17" s="20" t="s">
        <v>465</v>
      </c>
      <c r="L17" s="20" t="s">
        <v>466</v>
      </c>
      <c r="M17" s="9">
        <v>846500</v>
      </c>
      <c r="N17" s="8">
        <v>706808848</v>
      </c>
    </row>
    <row r="18" spans="2:14" ht="36" customHeight="1" x14ac:dyDescent="0.25">
      <c r="B18" s="8"/>
      <c r="C18" s="8"/>
      <c r="D18" s="8"/>
      <c r="E18" s="8"/>
      <c r="F18" s="9"/>
      <c r="G18" s="9"/>
      <c r="H18" s="9"/>
      <c r="I18" s="8"/>
      <c r="J18" s="7"/>
      <c r="K18" s="20"/>
      <c r="L18" s="20" t="s">
        <v>476</v>
      </c>
      <c r="M18" s="9">
        <v>2000</v>
      </c>
      <c r="N18" s="8"/>
    </row>
    <row r="19" spans="2:14" x14ac:dyDescent="0.25">
      <c r="B19" s="8"/>
      <c r="C19" s="8"/>
      <c r="D19" s="8"/>
      <c r="E19" s="8"/>
      <c r="F19" s="9"/>
      <c r="G19" s="9"/>
      <c r="H19" s="9"/>
      <c r="I19" s="8"/>
      <c r="J19" s="7"/>
      <c r="K19" s="20"/>
      <c r="L19" s="20"/>
      <c r="M19" s="9"/>
      <c r="N19" s="8"/>
    </row>
    <row r="20" spans="2:14" ht="30" x14ac:dyDescent="0.25">
      <c r="B20" s="8"/>
      <c r="C20" s="8"/>
      <c r="D20" s="8"/>
      <c r="E20" s="8"/>
      <c r="F20" s="9"/>
      <c r="G20" s="9"/>
      <c r="H20" s="9"/>
      <c r="I20" s="8"/>
      <c r="J20" s="7">
        <v>46134</v>
      </c>
      <c r="K20" s="20" t="s">
        <v>467</v>
      </c>
      <c r="L20" s="20" t="s">
        <v>468</v>
      </c>
      <c r="M20" s="9">
        <v>750000</v>
      </c>
      <c r="N20" s="8">
        <v>751682671</v>
      </c>
    </row>
    <row r="21" spans="2:14" x14ac:dyDescent="0.25">
      <c r="B21" s="8"/>
      <c r="C21" s="8"/>
      <c r="D21" s="8"/>
      <c r="E21" s="8"/>
      <c r="F21" s="9"/>
      <c r="G21" s="9"/>
      <c r="H21" s="9"/>
      <c r="I21" s="8"/>
      <c r="J21" s="7"/>
      <c r="K21" s="8"/>
      <c r="L21" s="20"/>
      <c r="M21" s="9"/>
      <c r="N21" s="8"/>
    </row>
    <row r="22" spans="2:14" ht="30" x14ac:dyDescent="0.25">
      <c r="B22" s="8"/>
      <c r="C22" s="8"/>
      <c r="D22" s="8"/>
      <c r="E22" s="8"/>
      <c r="F22" s="9"/>
      <c r="G22" s="9"/>
      <c r="H22" s="9"/>
      <c r="I22" s="8"/>
      <c r="J22" s="7">
        <v>46134</v>
      </c>
      <c r="K22" s="20" t="s">
        <v>470</v>
      </c>
      <c r="L22" s="20" t="s">
        <v>469</v>
      </c>
      <c r="M22" s="9">
        <v>1073900</v>
      </c>
      <c r="N22" s="47">
        <v>254729595203</v>
      </c>
    </row>
    <row r="23" spans="2:14" x14ac:dyDescent="0.25">
      <c r="B23" s="8"/>
      <c r="C23" s="8"/>
      <c r="D23" s="8"/>
      <c r="E23" s="8"/>
      <c r="F23" s="9"/>
      <c r="G23" s="9"/>
      <c r="H23" s="9"/>
      <c r="I23" s="8"/>
      <c r="J23" s="7"/>
      <c r="K23" s="8"/>
      <c r="L23" s="20"/>
      <c r="M23" s="9"/>
      <c r="N23" s="8"/>
    </row>
    <row r="24" spans="2:14" ht="30" x14ac:dyDescent="0.25">
      <c r="B24" s="8"/>
      <c r="C24" s="8"/>
      <c r="D24" s="8"/>
      <c r="E24" s="8"/>
      <c r="F24" s="9"/>
      <c r="G24" s="9"/>
      <c r="H24" s="9"/>
      <c r="I24" s="8"/>
      <c r="J24" s="41">
        <v>46134</v>
      </c>
      <c r="K24" s="20" t="s">
        <v>471</v>
      </c>
      <c r="L24" s="20" t="s">
        <v>472</v>
      </c>
      <c r="M24" s="9">
        <v>2060000</v>
      </c>
      <c r="N24" s="8">
        <v>705167067</v>
      </c>
    </row>
    <row r="25" spans="2:14" x14ac:dyDescent="0.25">
      <c r="B25" s="8"/>
      <c r="C25" s="8"/>
      <c r="D25" s="8"/>
      <c r="E25" s="8"/>
      <c r="F25" s="9"/>
      <c r="G25" s="9"/>
      <c r="H25" s="9"/>
      <c r="I25" s="8"/>
      <c r="J25" s="7"/>
      <c r="K25" s="8"/>
      <c r="L25" s="20"/>
      <c r="M25" s="9"/>
      <c r="N25" s="8"/>
    </row>
    <row r="26" spans="2:14" ht="48.75" customHeight="1" x14ac:dyDescent="0.25">
      <c r="B26" s="8"/>
      <c r="C26" s="8"/>
      <c r="D26" s="8"/>
      <c r="E26" s="8"/>
      <c r="F26" s="9"/>
      <c r="G26" s="9"/>
      <c r="H26" s="9"/>
      <c r="I26" s="8"/>
      <c r="J26" s="7">
        <v>46134</v>
      </c>
      <c r="K26" s="8" t="s">
        <v>474</v>
      </c>
      <c r="L26" s="20" t="s">
        <v>475</v>
      </c>
      <c r="M26" s="9">
        <v>87000</v>
      </c>
      <c r="N26" s="8" t="s">
        <v>13</v>
      </c>
    </row>
    <row r="27" spans="2:14" x14ac:dyDescent="0.25">
      <c r="B27" s="8"/>
      <c r="C27" s="8"/>
      <c r="D27" s="8"/>
      <c r="E27" s="8"/>
      <c r="F27" s="9"/>
      <c r="G27" s="9"/>
      <c r="H27" s="9"/>
      <c r="I27" s="8"/>
      <c r="J27" s="7"/>
      <c r="K27" s="8"/>
      <c r="L27" s="20"/>
      <c r="M27" s="9"/>
      <c r="N27" s="8"/>
    </row>
    <row r="28" spans="2:14" ht="30" x14ac:dyDescent="0.25">
      <c r="B28" s="8"/>
      <c r="C28" s="8"/>
      <c r="D28" s="8"/>
      <c r="E28" s="8"/>
      <c r="F28" s="9"/>
      <c r="G28" s="9"/>
      <c r="H28" s="9"/>
      <c r="I28" s="8"/>
      <c r="J28" s="7">
        <v>46134</v>
      </c>
      <c r="K28" s="20" t="s">
        <v>478</v>
      </c>
      <c r="L28" s="20" t="s">
        <v>481</v>
      </c>
      <c r="M28" s="9">
        <v>500000</v>
      </c>
      <c r="N28" s="8">
        <v>740910438</v>
      </c>
    </row>
    <row r="29" spans="2:14" x14ac:dyDescent="0.25">
      <c r="B29" s="8"/>
      <c r="C29" s="8"/>
      <c r="D29" s="8"/>
      <c r="E29" s="8"/>
      <c r="F29" s="9"/>
      <c r="G29" s="9"/>
      <c r="H29" s="9"/>
      <c r="I29" s="8"/>
      <c r="J29" s="7"/>
      <c r="K29" s="8"/>
      <c r="L29" s="20"/>
      <c r="M29" s="9"/>
      <c r="N29" s="8"/>
    </row>
    <row r="30" spans="2:14" ht="30" x14ac:dyDescent="0.25">
      <c r="B30" s="8"/>
      <c r="C30" s="8"/>
      <c r="D30" s="8"/>
      <c r="E30" s="8"/>
      <c r="F30" s="9"/>
      <c r="G30" s="9"/>
      <c r="H30" s="9"/>
      <c r="I30" s="8"/>
      <c r="J30" s="7">
        <v>46134</v>
      </c>
      <c r="K30" s="20" t="s">
        <v>486</v>
      </c>
      <c r="L30" s="20" t="s">
        <v>487</v>
      </c>
      <c r="M30" s="9">
        <v>150000</v>
      </c>
      <c r="N30" s="20">
        <v>754269536</v>
      </c>
    </row>
    <row r="31" spans="2:14" x14ac:dyDescent="0.25">
      <c r="B31" s="8"/>
      <c r="C31" s="8"/>
      <c r="D31" s="8"/>
      <c r="E31" s="8"/>
      <c r="F31" s="9"/>
      <c r="G31" s="9"/>
      <c r="H31" s="9"/>
      <c r="I31" s="8"/>
      <c r="J31" s="7">
        <v>46134</v>
      </c>
      <c r="K31" s="20" t="s">
        <v>230</v>
      </c>
      <c r="L31" s="20" t="s">
        <v>488</v>
      </c>
      <c r="M31" s="9">
        <v>25000</v>
      </c>
      <c r="N31" s="20">
        <v>792505557</v>
      </c>
    </row>
    <row r="32" spans="2:14" x14ac:dyDescent="0.25">
      <c r="B32" s="8"/>
      <c r="C32" s="8"/>
      <c r="D32" s="8"/>
      <c r="E32" s="8"/>
      <c r="F32" s="9"/>
      <c r="G32" s="9"/>
      <c r="H32" s="9"/>
      <c r="I32" s="8"/>
      <c r="J32" s="7"/>
      <c r="K32" s="8"/>
      <c r="L32" s="20"/>
      <c r="M32" s="9"/>
      <c r="N32" s="20"/>
    </row>
    <row r="33" spans="2:14" ht="30" x14ac:dyDescent="0.25">
      <c r="B33" s="8"/>
      <c r="C33" s="8"/>
      <c r="D33" s="8"/>
      <c r="E33" s="8"/>
      <c r="F33" s="9"/>
      <c r="G33" s="9"/>
      <c r="H33" s="9"/>
      <c r="I33" s="8"/>
      <c r="J33" s="7">
        <v>46134</v>
      </c>
      <c r="K33" s="8" t="s">
        <v>482</v>
      </c>
      <c r="L33" s="20" t="s">
        <v>483</v>
      </c>
      <c r="M33" s="9">
        <v>194000</v>
      </c>
      <c r="N33" s="8">
        <v>702750820</v>
      </c>
    </row>
    <row r="34" spans="2:14" x14ac:dyDescent="0.25">
      <c r="B34" s="8"/>
      <c r="C34" s="8"/>
      <c r="D34" s="8"/>
      <c r="E34" s="8"/>
      <c r="F34" s="9"/>
      <c r="G34" s="9"/>
      <c r="H34" s="9"/>
      <c r="I34" s="8"/>
      <c r="J34" s="7"/>
      <c r="K34" s="8"/>
      <c r="L34" s="20"/>
      <c r="M34" s="9"/>
      <c r="N34" s="8"/>
    </row>
    <row r="35" spans="2:14" x14ac:dyDescent="0.25">
      <c r="B35" s="8"/>
      <c r="C35" s="8"/>
      <c r="D35" s="8"/>
      <c r="E35" s="8"/>
      <c r="F35" s="9"/>
      <c r="G35" s="9"/>
      <c r="H35" s="9"/>
      <c r="I35" s="8"/>
      <c r="J35" s="7">
        <v>46135</v>
      </c>
      <c r="K35" s="8" t="s">
        <v>489</v>
      </c>
      <c r="L35" s="20" t="s">
        <v>490</v>
      </c>
      <c r="M35" s="9">
        <v>1305000</v>
      </c>
      <c r="N35" s="8">
        <v>706006003</v>
      </c>
    </row>
    <row r="36" spans="2:14" x14ac:dyDescent="0.25">
      <c r="B36" s="8"/>
      <c r="C36" s="8"/>
      <c r="D36" s="8"/>
      <c r="E36" s="8"/>
      <c r="F36" s="9"/>
      <c r="G36" s="9"/>
      <c r="H36" s="9"/>
      <c r="I36" s="8"/>
      <c r="J36" s="7"/>
      <c r="K36" s="8"/>
      <c r="L36" s="20"/>
      <c r="M36" s="9"/>
      <c r="N36" s="8"/>
    </row>
    <row r="37" spans="2:14" ht="30" x14ac:dyDescent="0.25">
      <c r="B37" s="8"/>
      <c r="C37" s="8"/>
      <c r="D37" s="8"/>
      <c r="E37" s="8"/>
      <c r="F37" s="9"/>
      <c r="G37" s="9"/>
      <c r="H37" s="9"/>
      <c r="I37" s="8"/>
      <c r="J37" s="7">
        <v>46135</v>
      </c>
      <c r="K37" s="20" t="s">
        <v>493</v>
      </c>
      <c r="L37" s="20" t="s">
        <v>492</v>
      </c>
      <c r="M37" s="9">
        <v>32000</v>
      </c>
      <c r="N37" s="8">
        <v>730643500</v>
      </c>
    </row>
    <row r="38" spans="2:14" x14ac:dyDescent="0.25">
      <c r="B38" s="8"/>
      <c r="C38" s="8"/>
      <c r="D38" s="8"/>
      <c r="E38" s="8"/>
      <c r="F38" s="9"/>
      <c r="G38" s="9"/>
      <c r="H38" s="9"/>
      <c r="I38" s="8"/>
      <c r="J38" s="7"/>
      <c r="K38" s="20"/>
      <c r="L38" s="20"/>
      <c r="M38" s="9"/>
      <c r="N38" s="8"/>
    </row>
    <row r="39" spans="2:14" ht="30" x14ac:dyDescent="0.25">
      <c r="B39" s="8"/>
      <c r="C39" s="8"/>
      <c r="D39" s="8"/>
      <c r="E39" s="8"/>
      <c r="F39" s="9"/>
      <c r="G39" s="9"/>
      <c r="H39" s="9"/>
      <c r="I39" s="8"/>
      <c r="J39" s="7">
        <v>46135</v>
      </c>
      <c r="K39" s="20" t="s">
        <v>495</v>
      </c>
      <c r="L39" s="20" t="s">
        <v>494</v>
      </c>
      <c r="M39" s="9">
        <v>1000000</v>
      </c>
      <c r="N39" s="8">
        <v>702507050</v>
      </c>
    </row>
    <row r="40" spans="2:14" x14ac:dyDescent="0.25">
      <c r="B40" s="8"/>
      <c r="C40" s="8"/>
      <c r="D40" s="8"/>
      <c r="E40" s="8"/>
      <c r="F40" s="9"/>
      <c r="G40" s="9"/>
      <c r="H40" s="9"/>
      <c r="I40" s="8"/>
      <c r="J40" s="7"/>
      <c r="K40" s="20"/>
      <c r="L40" s="20"/>
      <c r="M40" s="9"/>
      <c r="N40" s="8"/>
    </row>
    <row r="41" spans="2:14" x14ac:dyDescent="0.25">
      <c r="B41" s="8"/>
      <c r="C41" s="8"/>
      <c r="D41" s="8"/>
      <c r="E41" s="8"/>
      <c r="F41" s="9"/>
      <c r="G41" s="9"/>
      <c r="H41" s="9"/>
      <c r="I41" s="8"/>
      <c r="J41" s="7">
        <v>46135</v>
      </c>
      <c r="K41" s="8" t="s">
        <v>497</v>
      </c>
      <c r="L41" s="20" t="s">
        <v>496</v>
      </c>
      <c r="M41" s="9">
        <v>100000</v>
      </c>
      <c r="N41" s="8">
        <v>751310181</v>
      </c>
    </row>
    <row r="42" spans="2:14" x14ac:dyDescent="0.25">
      <c r="B42" s="8"/>
      <c r="C42" s="8"/>
      <c r="D42" s="8"/>
      <c r="E42" s="8"/>
      <c r="F42" s="9"/>
      <c r="G42" s="9"/>
      <c r="H42" s="9"/>
      <c r="I42" s="8"/>
      <c r="J42" s="7">
        <v>46136</v>
      </c>
      <c r="K42" s="20" t="s">
        <v>503</v>
      </c>
      <c r="L42" s="20" t="s">
        <v>491</v>
      </c>
      <c r="M42" s="9">
        <v>100000</v>
      </c>
      <c r="N42" s="8" t="s">
        <v>13</v>
      </c>
    </row>
    <row r="43" spans="2:14" x14ac:dyDescent="0.25">
      <c r="B43" s="8"/>
      <c r="C43" s="8"/>
      <c r="D43" s="8"/>
      <c r="E43" s="8"/>
      <c r="F43" s="9"/>
      <c r="G43" s="9"/>
      <c r="H43" s="9"/>
      <c r="I43" s="8"/>
      <c r="J43" s="7"/>
      <c r="K43" s="20"/>
      <c r="L43" s="20"/>
      <c r="M43" s="9"/>
      <c r="N43" s="8"/>
    </row>
    <row r="44" spans="2:14" ht="30" x14ac:dyDescent="0.25">
      <c r="B44" s="8"/>
      <c r="C44" s="8"/>
      <c r="D44" s="8"/>
      <c r="E44" s="8"/>
      <c r="F44" s="9"/>
      <c r="G44" s="9"/>
      <c r="H44" s="9"/>
      <c r="I44" s="8"/>
      <c r="J44" s="7">
        <v>46136</v>
      </c>
      <c r="K44" s="20" t="s">
        <v>499</v>
      </c>
      <c r="L44" s="20" t="s">
        <v>498</v>
      </c>
      <c r="M44" s="9">
        <v>2000000</v>
      </c>
      <c r="N44" s="8">
        <v>774112810</v>
      </c>
    </row>
    <row r="45" spans="2:14" x14ac:dyDescent="0.25">
      <c r="B45" s="8"/>
      <c r="C45" s="8"/>
      <c r="D45" s="8"/>
      <c r="E45" s="8"/>
      <c r="F45" s="9"/>
      <c r="G45" s="9"/>
      <c r="H45" s="9"/>
      <c r="I45" s="8"/>
      <c r="J45" s="7"/>
      <c r="K45" s="20"/>
      <c r="L45" s="20"/>
      <c r="M45" s="9"/>
      <c r="N45" s="8"/>
    </row>
    <row r="46" spans="2:14" ht="30" x14ac:dyDescent="0.25">
      <c r="B46" s="8"/>
      <c r="C46" s="8"/>
      <c r="D46" s="8"/>
      <c r="E46" s="8"/>
      <c r="F46" s="9"/>
      <c r="G46" s="9"/>
      <c r="H46" s="9"/>
      <c r="I46" s="8"/>
      <c r="J46" s="7">
        <v>46136</v>
      </c>
      <c r="K46" s="20" t="s">
        <v>501</v>
      </c>
      <c r="L46" s="20" t="s">
        <v>500</v>
      </c>
      <c r="M46" s="9">
        <v>250000</v>
      </c>
      <c r="N46" s="8">
        <v>779915273</v>
      </c>
    </row>
    <row r="47" spans="2:14" x14ac:dyDescent="0.25">
      <c r="B47" s="8"/>
      <c r="C47" s="8"/>
      <c r="D47" s="8"/>
      <c r="E47" s="8"/>
      <c r="F47" s="9"/>
      <c r="G47" s="9"/>
      <c r="H47" s="9"/>
      <c r="I47" s="8"/>
      <c r="J47" s="7"/>
      <c r="K47" s="20"/>
      <c r="L47" s="20"/>
      <c r="M47" s="9"/>
      <c r="N47" s="8"/>
    </row>
    <row r="48" spans="2:14" x14ac:dyDescent="0.25">
      <c r="B48" s="8"/>
      <c r="C48" s="8"/>
      <c r="D48" s="8"/>
      <c r="E48" s="8"/>
      <c r="F48" s="9"/>
      <c r="G48" s="9"/>
      <c r="H48" s="9"/>
      <c r="I48" s="8"/>
      <c r="J48" s="7">
        <v>46136</v>
      </c>
      <c r="K48" s="20" t="s">
        <v>140</v>
      </c>
      <c r="L48" s="20" t="s">
        <v>504</v>
      </c>
      <c r="M48" s="9">
        <v>300000</v>
      </c>
      <c r="N48" s="8" t="s">
        <v>13</v>
      </c>
    </row>
    <row r="49" spans="2:14" x14ac:dyDescent="0.25">
      <c r="B49" s="8"/>
      <c r="C49" s="8"/>
      <c r="D49" s="8"/>
      <c r="E49" s="8"/>
      <c r="F49" s="9"/>
      <c r="G49" s="9"/>
      <c r="H49" s="9"/>
      <c r="I49" s="8"/>
      <c r="J49" s="7"/>
      <c r="K49" s="20"/>
      <c r="L49" s="20"/>
      <c r="M49" s="9"/>
      <c r="N49" s="8"/>
    </row>
    <row r="50" spans="2:14" ht="30" x14ac:dyDescent="0.25">
      <c r="B50" s="8"/>
      <c r="C50" s="8"/>
      <c r="D50" s="8"/>
      <c r="E50" s="8"/>
      <c r="F50" s="9"/>
      <c r="G50" s="9"/>
      <c r="H50" s="9"/>
      <c r="I50" s="8"/>
      <c r="J50" s="7">
        <v>46136</v>
      </c>
      <c r="K50" s="20" t="s">
        <v>505</v>
      </c>
      <c r="L50" s="20" t="s">
        <v>506</v>
      </c>
      <c r="M50" s="9">
        <v>120000</v>
      </c>
      <c r="N50" s="8">
        <v>775656579</v>
      </c>
    </row>
    <row r="51" spans="2:14" x14ac:dyDescent="0.25">
      <c r="B51" s="8"/>
      <c r="C51" s="8"/>
      <c r="D51" s="8"/>
      <c r="E51" s="8"/>
      <c r="F51" s="9"/>
      <c r="G51" s="9"/>
      <c r="H51" s="9"/>
      <c r="I51" s="8"/>
      <c r="J51" s="7"/>
      <c r="K51" s="20"/>
      <c r="L51" s="20"/>
      <c r="M51" s="9"/>
      <c r="N51" s="8"/>
    </row>
    <row r="52" spans="2:14" ht="30" x14ac:dyDescent="0.25">
      <c r="B52" s="8"/>
      <c r="C52" s="8"/>
      <c r="D52" s="8"/>
      <c r="E52" s="8"/>
      <c r="F52" s="9"/>
      <c r="G52" s="9"/>
      <c r="H52" s="9"/>
      <c r="I52" s="8"/>
      <c r="J52" s="7">
        <v>46137</v>
      </c>
      <c r="K52" s="20" t="s">
        <v>507</v>
      </c>
      <c r="L52" s="20" t="s">
        <v>508</v>
      </c>
      <c r="M52" s="9">
        <v>248000</v>
      </c>
      <c r="N52" s="8">
        <v>702750820</v>
      </c>
    </row>
    <row r="53" spans="2:14" ht="30" x14ac:dyDescent="0.25">
      <c r="B53" s="8"/>
      <c r="C53" s="8"/>
      <c r="D53" s="8"/>
      <c r="E53" s="8"/>
      <c r="F53" s="9"/>
      <c r="G53" s="9"/>
      <c r="H53" s="9"/>
      <c r="I53" s="8"/>
      <c r="J53" s="7"/>
      <c r="K53" s="20"/>
      <c r="L53" s="20" t="s">
        <v>476</v>
      </c>
      <c r="M53" s="9">
        <v>2000</v>
      </c>
      <c r="N53" s="8"/>
    </row>
    <row r="54" spans="2:14" x14ac:dyDescent="0.25">
      <c r="B54" s="8"/>
      <c r="C54" s="8"/>
      <c r="D54" s="8"/>
      <c r="E54" s="8"/>
      <c r="F54" s="9"/>
      <c r="G54" s="9"/>
      <c r="H54" s="9"/>
      <c r="I54" s="8"/>
      <c r="J54" s="7">
        <v>46140</v>
      </c>
      <c r="K54" s="20" t="s">
        <v>509</v>
      </c>
      <c r="L54" s="20" t="s">
        <v>510</v>
      </c>
      <c r="M54" s="9">
        <v>300000</v>
      </c>
      <c r="N54" s="8">
        <v>740230617</v>
      </c>
    </row>
    <row r="55" spans="2:14" x14ac:dyDescent="0.25">
      <c r="B55" s="8"/>
      <c r="C55" s="8"/>
      <c r="D55" s="8"/>
      <c r="E55" s="8"/>
      <c r="F55" s="9"/>
      <c r="G55" s="9"/>
      <c r="H55" s="9"/>
      <c r="I55" s="8"/>
      <c r="J55" s="7"/>
      <c r="K55" s="20"/>
      <c r="L55" s="20"/>
      <c r="M55" s="9"/>
      <c r="N55" s="8"/>
    </row>
    <row r="56" spans="2:14" ht="45" x14ac:dyDescent="0.25">
      <c r="B56" s="8"/>
      <c r="C56" s="8"/>
      <c r="D56" s="8"/>
      <c r="E56" s="8"/>
      <c r="F56" s="9"/>
      <c r="G56" s="9"/>
      <c r="H56" s="9"/>
      <c r="I56" s="8"/>
      <c r="J56" s="7">
        <v>46140</v>
      </c>
      <c r="K56" s="20" t="s">
        <v>511</v>
      </c>
      <c r="L56" s="20" t="s">
        <v>512</v>
      </c>
      <c r="M56" s="9">
        <v>250000</v>
      </c>
      <c r="N56" s="8">
        <v>776312022</v>
      </c>
    </row>
    <row r="57" spans="2:14" x14ac:dyDescent="0.25">
      <c r="B57" s="8"/>
      <c r="C57" s="8"/>
      <c r="D57" s="8"/>
      <c r="E57" s="8"/>
      <c r="F57" s="9"/>
      <c r="G57" s="9"/>
      <c r="H57" s="9"/>
      <c r="I57" s="8"/>
      <c r="J57" s="7"/>
      <c r="K57" s="20"/>
      <c r="L57" s="20"/>
      <c r="M57" s="9"/>
      <c r="N57" s="8"/>
    </row>
    <row r="58" spans="2:14" ht="30" x14ac:dyDescent="0.25">
      <c r="B58" s="8"/>
      <c r="C58" s="8"/>
      <c r="D58" s="8"/>
      <c r="E58" s="8"/>
      <c r="F58" s="9"/>
      <c r="G58" s="9"/>
      <c r="H58" s="9"/>
      <c r="I58" s="8"/>
      <c r="J58" s="7">
        <v>46140</v>
      </c>
      <c r="K58" s="20" t="s">
        <v>95</v>
      </c>
      <c r="L58" s="20" t="s">
        <v>513</v>
      </c>
      <c r="M58" s="9">
        <v>5000</v>
      </c>
      <c r="N58" s="8" t="s">
        <v>13</v>
      </c>
    </row>
    <row r="59" spans="2:14" x14ac:dyDescent="0.25">
      <c r="B59" s="8"/>
      <c r="C59" s="8"/>
      <c r="D59" s="8"/>
      <c r="E59" s="8"/>
      <c r="F59" s="9"/>
      <c r="G59" s="9"/>
      <c r="H59" s="9"/>
      <c r="I59" s="8"/>
      <c r="J59" s="7"/>
      <c r="K59" s="20"/>
      <c r="L59" s="20"/>
      <c r="M59" s="9"/>
      <c r="N59" s="8"/>
    </row>
    <row r="60" spans="2:14" x14ac:dyDescent="0.25">
      <c r="B60" s="8"/>
      <c r="C60" s="8"/>
      <c r="D60" s="8"/>
      <c r="E60" s="8"/>
      <c r="F60" s="9"/>
      <c r="G60" s="9"/>
      <c r="H60" s="9"/>
      <c r="I60" s="8"/>
      <c r="J60" s="7">
        <v>46140</v>
      </c>
      <c r="K60" s="20" t="s">
        <v>140</v>
      </c>
      <c r="L60" s="20" t="s">
        <v>514</v>
      </c>
      <c r="M60" s="9">
        <v>280000</v>
      </c>
      <c r="N60" s="8" t="s">
        <v>13</v>
      </c>
    </row>
    <row r="61" spans="2:14" x14ac:dyDescent="0.25">
      <c r="B61" s="8"/>
      <c r="C61" s="8"/>
      <c r="D61" s="8"/>
      <c r="E61" s="8"/>
      <c r="F61" s="9"/>
      <c r="G61" s="9"/>
      <c r="H61" s="9"/>
      <c r="I61" s="8"/>
      <c r="J61" s="7"/>
      <c r="K61" s="20"/>
      <c r="L61" s="20"/>
      <c r="M61" s="9"/>
      <c r="N61" s="8"/>
    </row>
    <row r="62" spans="2:14" x14ac:dyDescent="0.25">
      <c r="B62" s="8"/>
      <c r="C62" s="8"/>
      <c r="D62" s="8"/>
      <c r="E62" s="8"/>
      <c r="F62" s="9"/>
      <c r="G62" s="9"/>
      <c r="H62" s="9"/>
      <c r="I62" s="8"/>
      <c r="J62" s="7"/>
      <c r="K62" s="20"/>
      <c r="L62" s="20"/>
      <c r="M62" s="9"/>
      <c r="N62" s="8"/>
    </row>
    <row r="63" spans="2:14" x14ac:dyDescent="0.25">
      <c r="B63" s="8"/>
      <c r="C63" s="8"/>
      <c r="D63" s="8"/>
      <c r="E63" s="8"/>
      <c r="F63" s="9"/>
      <c r="G63" s="9"/>
      <c r="H63" s="9"/>
      <c r="I63" s="8"/>
      <c r="J63" s="7"/>
      <c r="K63" s="20"/>
      <c r="L63" s="20"/>
      <c r="M63" s="9"/>
      <c r="N63" s="8"/>
    </row>
    <row r="64" spans="2:14" x14ac:dyDescent="0.25">
      <c r="B64" s="8"/>
      <c r="C64" s="8"/>
      <c r="D64" s="8"/>
      <c r="E64" s="8"/>
      <c r="F64" s="9"/>
      <c r="G64" s="9"/>
      <c r="H64" s="9"/>
      <c r="I64" s="8"/>
      <c r="J64" s="7"/>
      <c r="K64" s="20"/>
      <c r="L64" s="20"/>
      <c r="M64" s="9"/>
      <c r="N64" s="8"/>
    </row>
    <row r="65" spans="2:14" x14ac:dyDescent="0.25">
      <c r="B65" s="8"/>
      <c r="C65" s="8"/>
      <c r="D65" s="8"/>
      <c r="E65" s="8"/>
      <c r="F65" s="9"/>
      <c r="G65" s="9"/>
      <c r="H65" s="9"/>
      <c r="I65" s="8"/>
      <c r="J65" s="7"/>
      <c r="K65" s="20"/>
      <c r="L65" s="20"/>
      <c r="M65" s="9"/>
      <c r="N65" s="8"/>
    </row>
    <row r="66" spans="2:14" x14ac:dyDescent="0.25">
      <c r="B66" s="8"/>
      <c r="C66" s="8"/>
      <c r="D66" s="8"/>
      <c r="E66" s="8"/>
      <c r="F66" s="9"/>
      <c r="G66" s="9"/>
      <c r="H66" s="9"/>
      <c r="I66" s="8"/>
      <c r="J66" s="7"/>
      <c r="K66" s="20"/>
      <c r="L66" s="20"/>
      <c r="M66" s="9"/>
      <c r="N66" s="8"/>
    </row>
    <row r="67" spans="2:14" x14ac:dyDescent="0.25">
      <c r="B67" s="8"/>
      <c r="C67" s="8"/>
      <c r="D67" s="8"/>
      <c r="E67" s="8"/>
      <c r="F67" s="9"/>
      <c r="G67" s="9"/>
      <c r="H67" s="9"/>
      <c r="I67" s="8"/>
      <c r="J67" s="7"/>
      <c r="K67" s="20"/>
      <c r="L67" s="20"/>
      <c r="M67" s="9"/>
      <c r="N67" s="8"/>
    </row>
    <row r="68" spans="2:14" x14ac:dyDescent="0.25">
      <c r="B68" s="8"/>
      <c r="C68" s="8"/>
      <c r="D68" s="8"/>
      <c r="E68" s="8"/>
      <c r="F68" s="9"/>
      <c r="G68" s="9"/>
      <c r="H68" s="9"/>
      <c r="I68" s="8"/>
      <c r="J68" s="7"/>
      <c r="K68" s="20"/>
      <c r="L68" s="20"/>
      <c r="M68" s="9"/>
      <c r="N68" s="8"/>
    </row>
    <row r="69" spans="2:14" x14ac:dyDescent="0.25">
      <c r="B69" s="8"/>
      <c r="C69" s="8"/>
      <c r="D69" s="8"/>
      <c r="E69" s="8"/>
      <c r="F69" s="9"/>
      <c r="G69" s="9"/>
      <c r="H69" s="9"/>
      <c r="I69" s="8"/>
      <c r="J69" s="7"/>
      <c r="K69" s="20"/>
      <c r="L69" s="20"/>
      <c r="M69" s="9"/>
      <c r="N69" s="8"/>
    </row>
    <row r="70" spans="2:14" x14ac:dyDescent="0.25">
      <c r="B70" s="8"/>
      <c r="C70" s="8"/>
      <c r="D70" s="8"/>
      <c r="E70" s="8"/>
      <c r="F70" s="9"/>
      <c r="G70" s="9"/>
      <c r="H70" s="9"/>
      <c r="I70" s="8"/>
      <c r="J70" s="7"/>
      <c r="K70" s="20"/>
      <c r="L70" s="20"/>
      <c r="M70" s="9"/>
      <c r="N70" s="8"/>
    </row>
    <row r="71" spans="2:14" x14ac:dyDescent="0.25">
      <c r="B71" s="8"/>
      <c r="C71" s="8"/>
      <c r="D71" s="8"/>
      <c r="E71" s="8"/>
      <c r="F71" s="9"/>
      <c r="G71" s="9"/>
      <c r="H71" s="9"/>
      <c r="I71" s="8"/>
      <c r="J71" s="7"/>
      <c r="K71" s="20"/>
      <c r="L71" s="20"/>
      <c r="M71" s="9"/>
      <c r="N71" s="8"/>
    </row>
    <row r="72" spans="2:14" x14ac:dyDescent="0.25">
      <c r="B72" s="8"/>
      <c r="C72" s="8"/>
      <c r="D72" s="8"/>
      <c r="E72" s="8"/>
      <c r="F72" s="9"/>
      <c r="G72" s="9"/>
      <c r="H72" s="9"/>
      <c r="I72" s="8"/>
      <c r="J72" s="7"/>
      <c r="K72" s="20"/>
      <c r="L72" s="20"/>
      <c r="M72" s="9"/>
      <c r="N72" s="8"/>
    </row>
    <row r="73" spans="2:14" x14ac:dyDescent="0.25">
      <c r="B73" s="8"/>
      <c r="C73" s="8"/>
      <c r="D73" s="8"/>
      <c r="E73" s="8"/>
      <c r="F73" s="9"/>
      <c r="G73" s="9"/>
      <c r="H73" s="9"/>
      <c r="I73" s="8"/>
      <c r="J73" s="7"/>
      <c r="K73" s="20"/>
      <c r="L73" s="20"/>
      <c r="M73" s="9"/>
      <c r="N73" s="8"/>
    </row>
    <row r="74" spans="2:14" x14ac:dyDescent="0.25">
      <c r="B74" s="8"/>
      <c r="C74" s="8"/>
      <c r="D74" s="8"/>
      <c r="E74" s="8"/>
      <c r="F74" s="9"/>
      <c r="G74" s="9"/>
      <c r="H74" s="9"/>
      <c r="I74" s="8"/>
      <c r="J74" s="7"/>
      <c r="K74" s="20"/>
      <c r="L74" s="20"/>
      <c r="M74" s="9"/>
      <c r="N74" s="8"/>
    </row>
    <row r="75" spans="2:14" x14ac:dyDescent="0.25">
      <c r="B75" s="8"/>
      <c r="C75" s="8"/>
      <c r="D75" s="8"/>
      <c r="E75" s="8"/>
      <c r="F75" s="9"/>
      <c r="G75" s="9"/>
      <c r="H75" s="9"/>
      <c r="I75" s="8"/>
      <c r="J75" s="7"/>
      <c r="K75" s="20"/>
      <c r="L75" s="20"/>
      <c r="M75" s="9"/>
      <c r="N75" s="20"/>
    </row>
    <row r="76" spans="2:14" x14ac:dyDescent="0.25">
      <c r="B76" s="8"/>
      <c r="C76" s="8"/>
      <c r="D76" s="8"/>
      <c r="E76" s="8"/>
      <c r="F76" s="9"/>
      <c r="G76" s="9"/>
      <c r="H76" s="9"/>
      <c r="I76" s="8"/>
      <c r="J76" s="7"/>
      <c r="K76" s="20"/>
      <c r="L76" s="20"/>
      <c r="M76" s="9"/>
      <c r="N76" s="8"/>
    </row>
    <row r="77" spans="2:14" x14ac:dyDescent="0.25">
      <c r="B77" s="8"/>
      <c r="C77" s="8"/>
      <c r="D77" s="8"/>
      <c r="E77" s="8"/>
      <c r="F77" s="9"/>
      <c r="G77" s="9"/>
      <c r="H77" s="9"/>
      <c r="I77" s="8"/>
      <c r="J77" s="7"/>
      <c r="K77" s="20"/>
      <c r="L77" s="20"/>
      <c r="M77" s="9"/>
      <c r="N77" s="8"/>
    </row>
    <row r="78" spans="2:14" x14ac:dyDescent="0.25">
      <c r="B78" s="8"/>
      <c r="C78" s="8"/>
      <c r="D78" s="8"/>
      <c r="E78" s="8"/>
      <c r="F78" s="9"/>
      <c r="G78" s="9"/>
      <c r="H78" s="9"/>
      <c r="I78" s="8"/>
      <c r="J78" s="7"/>
      <c r="K78" s="20"/>
      <c r="L78" s="20"/>
      <c r="M78" s="9"/>
      <c r="N78" s="8"/>
    </row>
    <row r="79" spans="2:14" x14ac:dyDescent="0.25">
      <c r="B79" s="8"/>
      <c r="C79" s="8"/>
      <c r="D79" s="8"/>
      <c r="E79" s="8"/>
      <c r="F79" s="9"/>
      <c r="G79" s="9"/>
      <c r="H79" s="9"/>
      <c r="I79" s="8"/>
      <c r="J79" s="7"/>
      <c r="K79" s="20"/>
      <c r="L79" s="20"/>
      <c r="M79" s="9"/>
      <c r="N79" s="8"/>
    </row>
    <row r="80" spans="2:14" x14ac:dyDescent="0.25">
      <c r="B80" s="8"/>
      <c r="C80" s="8"/>
      <c r="D80" s="8"/>
      <c r="E80" s="8"/>
      <c r="F80" s="9"/>
      <c r="G80" s="9"/>
      <c r="H80" s="9"/>
      <c r="I80" s="8"/>
      <c r="J80" s="7"/>
      <c r="K80" s="20"/>
      <c r="L80" s="20"/>
      <c r="M80" s="9"/>
      <c r="N80" s="8"/>
    </row>
    <row r="81" spans="2:14" x14ac:dyDescent="0.25">
      <c r="B81" s="8"/>
      <c r="C81" s="8"/>
      <c r="D81" s="8"/>
      <c r="E81" s="8"/>
      <c r="F81" s="9"/>
      <c r="G81" s="9"/>
      <c r="H81" s="9"/>
      <c r="I81" s="8"/>
      <c r="J81" s="7"/>
      <c r="K81" s="20"/>
      <c r="L81" s="20"/>
      <c r="M81" s="9"/>
      <c r="N81" s="8"/>
    </row>
    <row r="82" spans="2:14" x14ac:dyDescent="0.25">
      <c r="B82" s="8"/>
      <c r="C82" s="8"/>
      <c r="D82" s="8"/>
      <c r="E82" s="8"/>
      <c r="F82" s="9"/>
      <c r="G82" s="9"/>
      <c r="H82" s="9"/>
      <c r="I82" s="8"/>
      <c r="J82" s="7"/>
      <c r="K82" s="20"/>
      <c r="L82" s="20"/>
      <c r="M82" s="9"/>
      <c r="N82" s="8"/>
    </row>
    <row r="83" spans="2:14" x14ac:dyDescent="0.25">
      <c r="B83" s="8"/>
      <c r="C83" s="8"/>
      <c r="D83" s="8"/>
      <c r="E83" s="8"/>
      <c r="F83" s="9"/>
      <c r="G83" s="9"/>
      <c r="H83" s="9"/>
      <c r="I83" s="8"/>
      <c r="J83" s="7"/>
      <c r="K83" s="20"/>
      <c r="L83" s="8"/>
      <c r="M83" s="9"/>
      <c r="N83" s="8"/>
    </row>
    <row r="84" spans="2:14" x14ac:dyDescent="0.25">
      <c r="B84" s="3"/>
      <c r="C84" s="3" t="s">
        <v>14</v>
      </c>
      <c r="D84" s="3"/>
      <c r="E84" s="10">
        <f>SUM(E6:E42)</f>
        <v>0</v>
      </c>
      <c r="F84" s="10"/>
      <c r="G84" s="10">
        <f>SUM(G6:G42)</f>
        <v>16122200</v>
      </c>
      <c r="H84" s="10"/>
      <c r="I84" s="10"/>
      <c r="J84" s="10"/>
      <c r="K84" s="8"/>
      <c r="L84" s="10"/>
      <c r="M84" s="10">
        <f>SUM(M7:M83)</f>
        <v>15630400</v>
      </c>
      <c r="N84" s="3"/>
    </row>
    <row r="85" spans="2:14" x14ac:dyDescent="0.25">
      <c r="B85" s="6"/>
      <c r="C85" s="6"/>
      <c r="D85" s="6"/>
      <c r="E85" s="6"/>
      <c r="F85" s="12"/>
      <c r="G85" s="12"/>
      <c r="H85" s="12"/>
      <c r="I85" s="6"/>
      <c r="J85" s="6"/>
      <c r="K85" s="3" t="s">
        <v>14</v>
      </c>
      <c r="L85" s="6"/>
      <c r="M85" s="12"/>
      <c r="N85" s="6"/>
    </row>
    <row r="86" spans="2:14" x14ac:dyDescent="0.25">
      <c r="B86" s="6"/>
      <c r="C86" s="6"/>
      <c r="D86" s="6"/>
      <c r="E86" s="6"/>
      <c r="F86" s="11"/>
      <c r="G86" s="12" t="s">
        <v>13</v>
      </c>
      <c r="H86" s="12"/>
      <c r="I86" s="6"/>
      <c r="J86" s="6"/>
      <c r="K86" s="6"/>
      <c r="L86" s="6"/>
      <c r="M86" s="12"/>
      <c r="N86" s="6"/>
    </row>
    <row r="87" spans="2:14" x14ac:dyDescent="0.25">
      <c r="B87" s="6"/>
      <c r="C87" s="8" t="s">
        <v>15</v>
      </c>
      <c r="D87" s="8" t="s">
        <v>16</v>
      </c>
      <c r="E87" s="8"/>
      <c r="F87" s="13"/>
      <c r="G87" s="9">
        <f>G84</f>
        <v>16122200</v>
      </c>
      <c r="H87" s="12"/>
      <c r="I87" s="6"/>
      <c r="J87" s="6"/>
      <c r="K87" s="6"/>
      <c r="L87" s="6"/>
      <c r="M87" s="12"/>
      <c r="N87" s="6"/>
    </row>
    <row r="88" spans="2:14" ht="15.75" thickBot="1" x14ac:dyDescent="0.3">
      <c r="B88" s="6"/>
      <c r="C88" s="14"/>
      <c r="D88" s="14" t="s">
        <v>17</v>
      </c>
      <c r="E88" s="14"/>
      <c r="F88" s="15"/>
      <c r="G88" s="15">
        <f>M84</f>
        <v>15630400</v>
      </c>
      <c r="H88" s="12"/>
      <c r="I88" s="6"/>
      <c r="J88" s="6"/>
      <c r="K88" s="6"/>
      <c r="L88" s="6"/>
      <c r="M88" s="12"/>
      <c r="N88" s="6"/>
    </row>
    <row r="89" spans="2:14" ht="15.75" thickBot="1" x14ac:dyDescent="0.3">
      <c r="B89" s="6"/>
      <c r="C89" s="16" t="s">
        <v>18</v>
      </c>
      <c r="D89" s="17" t="s">
        <v>19</v>
      </c>
      <c r="E89" s="17"/>
      <c r="F89" s="18"/>
      <c r="G89" s="19">
        <f>G87-G88</f>
        <v>491800</v>
      </c>
      <c r="H89" s="12"/>
      <c r="I89" s="6"/>
      <c r="J89" s="6"/>
      <c r="K89" s="6"/>
      <c r="L89" s="6"/>
      <c r="M89" s="12"/>
      <c r="N89" s="6"/>
    </row>
  </sheetData>
  <mergeCells count="4">
    <mergeCell ref="B2:M2"/>
    <mergeCell ref="B3:M3"/>
    <mergeCell ref="B4:G4"/>
    <mergeCell ref="J4: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117"/>
  <sheetViews>
    <sheetView topLeftCell="D82" workbookViewId="0">
      <selection activeCell="F94" sqref="F94"/>
    </sheetView>
  </sheetViews>
  <sheetFormatPr defaultRowHeight="15" x14ac:dyDescent="0.25"/>
  <cols>
    <col min="1" max="1" width="10.140625" bestFit="1" customWidth="1"/>
    <col min="2" max="2" width="10.7109375" customWidth="1"/>
    <col min="3" max="3" width="12" customWidth="1"/>
    <col min="6" max="6" width="11.28515625" bestFit="1" customWidth="1"/>
    <col min="7" max="7" width="12.28515625" customWidth="1"/>
    <col min="9" max="9" width="10.140625" bestFit="1" customWidth="1"/>
    <col min="10" max="10" width="15.28515625" customWidth="1"/>
    <col min="11" max="11" width="20.140625" customWidth="1"/>
    <col min="12" max="12" width="11.5703125" customWidth="1"/>
    <col min="13" max="13" width="12" bestFit="1" customWidth="1"/>
    <col min="14" max="14" width="10.5703125" bestFit="1" customWidth="1"/>
  </cols>
  <sheetData>
    <row r="5" spans="1:13" ht="15.75" x14ac:dyDescent="0.25">
      <c r="A5" s="160" t="s">
        <v>20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2"/>
    </row>
    <row r="6" spans="1:13" ht="15.75" x14ac:dyDescent="0.25">
      <c r="A6" s="160" t="s">
        <v>0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2"/>
    </row>
    <row r="7" spans="1:13" ht="15.75" x14ac:dyDescent="0.25">
      <c r="A7" s="161" t="s">
        <v>1</v>
      </c>
      <c r="B7" s="161"/>
      <c r="C7" s="161"/>
      <c r="D7" s="161"/>
      <c r="E7" s="161"/>
      <c r="F7" s="161"/>
      <c r="G7" s="48"/>
      <c r="H7" s="48"/>
      <c r="I7" s="161" t="s">
        <v>2</v>
      </c>
      <c r="J7" s="161"/>
      <c r="K7" s="161"/>
      <c r="L7" s="161"/>
      <c r="M7" s="2"/>
    </row>
    <row r="8" spans="1:13" ht="30" x14ac:dyDescent="0.25">
      <c r="A8" s="3" t="s">
        <v>3</v>
      </c>
      <c r="B8" s="3" t="s">
        <v>4</v>
      </c>
      <c r="C8" s="3" t="s">
        <v>5</v>
      </c>
      <c r="D8" s="4" t="s">
        <v>6</v>
      </c>
      <c r="E8" s="5" t="s">
        <v>7</v>
      </c>
      <c r="F8" s="4" t="s">
        <v>8</v>
      </c>
      <c r="G8" s="5" t="s">
        <v>9</v>
      </c>
      <c r="H8" s="3"/>
      <c r="I8" s="3" t="s">
        <v>3</v>
      </c>
      <c r="J8" s="3" t="s">
        <v>10</v>
      </c>
      <c r="K8" s="3" t="s">
        <v>11</v>
      </c>
      <c r="L8" s="4" t="s">
        <v>8</v>
      </c>
      <c r="M8" s="5" t="s">
        <v>9</v>
      </c>
    </row>
    <row r="9" spans="1:13" ht="25.5" customHeight="1" x14ac:dyDescent="0.25">
      <c r="A9" s="7">
        <v>46140</v>
      </c>
      <c r="B9" s="20" t="s">
        <v>340</v>
      </c>
      <c r="C9" s="8" t="s">
        <v>123</v>
      </c>
      <c r="D9" s="8"/>
      <c r="E9" s="9"/>
      <c r="F9" s="9">
        <v>10000000</v>
      </c>
      <c r="G9" s="9"/>
      <c r="H9" s="8"/>
    </row>
    <row r="10" spans="1:13" ht="35.25" customHeight="1" x14ac:dyDescent="0.25">
      <c r="A10" s="7"/>
      <c r="B10" s="20"/>
      <c r="C10" s="20"/>
      <c r="D10" s="8"/>
      <c r="E10" s="9"/>
      <c r="F10" s="9"/>
      <c r="G10" s="38"/>
      <c r="H10" s="14"/>
      <c r="I10" s="7">
        <v>46140</v>
      </c>
      <c r="J10" s="20" t="s">
        <v>426</v>
      </c>
      <c r="K10" s="20" t="s">
        <v>527</v>
      </c>
      <c r="L10" s="49">
        <v>2000000</v>
      </c>
      <c r="M10" s="8" t="s">
        <v>13</v>
      </c>
    </row>
    <row r="11" spans="1:13" x14ac:dyDescent="0.25">
      <c r="A11" s="7">
        <v>46141</v>
      </c>
      <c r="B11" s="8" t="s">
        <v>517</v>
      </c>
      <c r="C11" s="20" t="s">
        <v>219</v>
      </c>
      <c r="D11" s="8"/>
      <c r="E11" s="9"/>
      <c r="F11" s="9">
        <v>491800</v>
      </c>
      <c r="G11" s="38"/>
      <c r="H11" s="14"/>
      <c r="I11" s="7"/>
      <c r="J11" s="20"/>
      <c r="K11" s="20"/>
      <c r="L11" s="9"/>
      <c r="M11" s="20"/>
    </row>
    <row r="12" spans="1:13" ht="30" x14ac:dyDescent="0.25">
      <c r="A12" s="7">
        <v>46146</v>
      </c>
      <c r="B12" s="35" t="s">
        <v>547</v>
      </c>
      <c r="C12" s="36" t="s">
        <v>566</v>
      </c>
      <c r="D12" s="8"/>
      <c r="E12" s="9"/>
      <c r="F12" s="9">
        <v>700000</v>
      </c>
      <c r="G12" s="36"/>
      <c r="H12" s="8"/>
      <c r="I12" s="7">
        <v>46141</v>
      </c>
      <c r="J12" s="20" t="s">
        <v>24</v>
      </c>
      <c r="K12" s="20" t="s">
        <v>516</v>
      </c>
      <c r="L12" s="9">
        <v>300000</v>
      </c>
      <c r="M12" s="8">
        <v>700742461</v>
      </c>
    </row>
    <row r="13" spans="1:13" x14ac:dyDescent="0.25">
      <c r="A13" s="7"/>
      <c r="B13" s="20"/>
      <c r="C13" s="8"/>
      <c r="D13" s="8"/>
      <c r="E13" s="9"/>
      <c r="F13" s="9"/>
      <c r="G13" s="9"/>
      <c r="H13" s="8"/>
      <c r="I13" s="7"/>
      <c r="J13" s="35"/>
      <c r="K13" s="40"/>
      <c r="L13" s="9"/>
      <c r="M13" s="8"/>
    </row>
    <row r="14" spans="1:13" ht="36.75" customHeight="1" x14ac:dyDescent="0.25">
      <c r="A14" s="7">
        <v>46148</v>
      </c>
      <c r="B14" s="8" t="s">
        <v>24</v>
      </c>
      <c r="C14" s="8" t="s">
        <v>123</v>
      </c>
      <c r="D14" s="8"/>
      <c r="E14" s="9"/>
      <c r="F14" s="9">
        <v>1500000</v>
      </c>
      <c r="G14" s="85" t="s">
        <v>654</v>
      </c>
      <c r="H14" s="8"/>
      <c r="I14" s="7">
        <v>46141</v>
      </c>
      <c r="J14" s="35" t="s">
        <v>518</v>
      </c>
      <c r="K14" s="32" t="s">
        <v>519</v>
      </c>
      <c r="L14" s="29">
        <v>885000</v>
      </c>
      <c r="M14" s="8">
        <v>774112810</v>
      </c>
    </row>
    <row r="15" spans="1:13" x14ac:dyDescent="0.25">
      <c r="A15" s="7"/>
      <c r="B15" s="8"/>
      <c r="C15" s="8"/>
      <c r="D15" s="8"/>
      <c r="E15" s="9"/>
      <c r="F15" s="9"/>
      <c r="G15" s="9"/>
      <c r="H15" s="8"/>
      <c r="I15" s="7"/>
      <c r="J15" s="8"/>
      <c r="K15" s="20"/>
      <c r="L15" s="9"/>
      <c r="M15" s="8"/>
    </row>
    <row r="16" spans="1:13" ht="30" x14ac:dyDescent="0.25">
      <c r="A16" s="7">
        <v>46149</v>
      </c>
      <c r="B16" s="8" t="s">
        <v>563</v>
      </c>
      <c r="C16" s="20" t="s">
        <v>564</v>
      </c>
      <c r="D16" s="8"/>
      <c r="E16" s="9"/>
      <c r="F16" s="9">
        <v>750000</v>
      </c>
      <c r="G16" s="86"/>
      <c r="H16" s="8"/>
      <c r="I16" s="7">
        <v>46141</v>
      </c>
      <c r="J16" s="20" t="s">
        <v>520</v>
      </c>
      <c r="K16" s="20" t="s">
        <v>521</v>
      </c>
      <c r="L16" s="9">
        <v>1060000</v>
      </c>
      <c r="M16" s="20">
        <v>702507050</v>
      </c>
    </row>
    <row r="17" spans="1:13" x14ac:dyDescent="0.25">
      <c r="A17" s="8"/>
      <c r="B17" s="8"/>
      <c r="C17" s="8"/>
      <c r="D17" s="8"/>
      <c r="E17" s="9"/>
      <c r="F17" s="9"/>
      <c r="G17" s="9"/>
      <c r="H17" s="8"/>
      <c r="I17" s="7"/>
      <c r="J17" s="8"/>
      <c r="K17" s="20"/>
      <c r="L17" s="9"/>
      <c r="M17" s="8"/>
    </row>
    <row r="18" spans="1:13" ht="30" x14ac:dyDescent="0.25">
      <c r="A18" s="7">
        <v>46150</v>
      </c>
      <c r="B18" s="20" t="s">
        <v>565</v>
      </c>
      <c r="C18" s="20" t="s">
        <v>564</v>
      </c>
      <c r="D18" s="8"/>
      <c r="E18" s="9"/>
      <c r="F18" s="9">
        <v>850000</v>
      </c>
      <c r="G18" s="9"/>
      <c r="H18" s="8"/>
      <c r="I18" s="7">
        <v>46141</v>
      </c>
      <c r="J18" s="20" t="s">
        <v>522</v>
      </c>
      <c r="K18" s="20" t="s">
        <v>523</v>
      </c>
      <c r="L18" s="9">
        <v>125000</v>
      </c>
      <c r="M18" s="20" t="s">
        <v>524</v>
      </c>
    </row>
    <row r="19" spans="1:13" x14ac:dyDescent="0.25">
      <c r="A19" s="8"/>
      <c r="B19" s="8"/>
      <c r="C19" s="8"/>
      <c r="D19" s="8"/>
      <c r="E19" s="9"/>
      <c r="F19" s="9"/>
      <c r="G19" s="9"/>
      <c r="H19" s="8"/>
      <c r="I19" s="7"/>
      <c r="J19" s="8"/>
      <c r="K19" s="20"/>
      <c r="L19" s="9"/>
      <c r="M19" s="8"/>
    </row>
    <row r="20" spans="1:13" ht="30" x14ac:dyDescent="0.25">
      <c r="A20" s="7">
        <v>46152</v>
      </c>
      <c r="B20" s="20" t="s">
        <v>565</v>
      </c>
      <c r="C20" s="20" t="s">
        <v>564</v>
      </c>
      <c r="D20" s="8"/>
      <c r="E20" s="9"/>
      <c r="F20" s="9">
        <v>100000</v>
      </c>
      <c r="G20" s="9"/>
      <c r="H20" s="8"/>
      <c r="I20" s="7">
        <v>46141</v>
      </c>
      <c r="J20" s="20" t="s">
        <v>525</v>
      </c>
      <c r="K20" s="20" t="s">
        <v>526</v>
      </c>
      <c r="L20" s="9">
        <v>300000</v>
      </c>
      <c r="M20" s="8">
        <v>748215857</v>
      </c>
    </row>
    <row r="21" spans="1:13" x14ac:dyDescent="0.25">
      <c r="A21" s="8"/>
      <c r="B21" s="8"/>
      <c r="C21" s="8"/>
      <c r="D21" s="8"/>
      <c r="E21" s="9"/>
      <c r="F21" s="9"/>
      <c r="G21" s="9"/>
      <c r="H21" s="8"/>
      <c r="I21" s="7"/>
      <c r="J21" s="20"/>
      <c r="K21" s="20"/>
      <c r="L21" s="9"/>
      <c r="M21" s="8"/>
    </row>
    <row r="22" spans="1:13" ht="30" x14ac:dyDescent="0.25">
      <c r="A22" s="41" t="s">
        <v>590</v>
      </c>
      <c r="B22" s="8" t="s">
        <v>547</v>
      </c>
      <c r="C22" s="8" t="s">
        <v>566</v>
      </c>
      <c r="D22" s="8"/>
      <c r="E22" s="9"/>
      <c r="F22" s="9">
        <v>544000</v>
      </c>
      <c r="G22" s="9"/>
      <c r="H22" s="8"/>
      <c r="I22" s="7">
        <v>46141</v>
      </c>
      <c r="J22" s="20" t="s">
        <v>230</v>
      </c>
      <c r="K22" s="20" t="s">
        <v>528</v>
      </c>
      <c r="L22" s="9">
        <v>40500</v>
      </c>
      <c r="M22" s="8"/>
    </row>
    <row r="23" spans="1:13" x14ac:dyDescent="0.25">
      <c r="A23" s="8"/>
      <c r="B23" s="8"/>
      <c r="C23" s="8"/>
      <c r="D23" s="8"/>
      <c r="E23" s="9"/>
      <c r="F23" s="9"/>
      <c r="G23" s="9"/>
      <c r="H23" s="8"/>
      <c r="I23" s="7"/>
      <c r="J23" s="20"/>
      <c r="K23" s="20"/>
      <c r="L23" s="9"/>
      <c r="M23" s="8"/>
    </row>
    <row r="24" spans="1:13" ht="30" x14ac:dyDescent="0.25">
      <c r="A24" s="41" t="s">
        <v>590</v>
      </c>
      <c r="B24" s="20" t="s">
        <v>565</v>
      </c>
      <c r="C24" s="20" t="s">
        <v>564</v>
      </c>
      <c r="D24" s="8"/>
      <c r="E24" s="9"/>
      <c r="F24" s="9">
        <v>450000</v>
      </c>
      <c r="G24" s="9"/>
      <c r="H24" s="8"/>
      <c r="I24" s="7">
        <v>46141</v>
      </c>
      <c r="J24" s="20" t="s">
        <v>531</v>
      </c>
      <c r="K24" s="20" t="s">
        <v>529</v>
      </c>
      <c r="L24" s="9">
        <v>100000</v>
      </c>
      <c r="M24" s="20" t="s">
        <v>530</v>
      </c>
    </row>
    <row r="25" spans="1:13" x14ac:dyDescent="0.25">
      <c r="A25" s="8"/>
      <c r="B25" s="8"/>
      <c r="C25" s="8"/>
      <c r="D25" s="8"/>
      <c r="E25" s="9"/>
      <c r="F25" s="9"/>
      <c r="G25" s="9"/>
      <c r="H25" s="8"/>
      <c r="I25" s="7"/>
      <c r="J25" s="20"/>
      <c r="K25" s="20"/>
      <c r="L25" s="9"/>
      <c r="M25" s="47"/>
    </row>
    <row r="26" spans="1:13" x14ac:dyDescent="0.25">
      <c r="A26" s="7">
        <v>46155</v>
      </c>
      <c r="B26" s="8" t="s">
        <v>578</v>
      </c>
      <c r="C26" s="8" t="s">
        <v>579</v>
      </c>
      <c r="D26" s="8"/>
      <c r="E26" s="9"/>
      <c r="F26" s="9">
        <v>1208200</v>
      </c>
      <c r="G26" s="9" t="s">
        <v>654</v>
      </c>
      <c r="H26" s="8"/>
      <c r="I26" s="7">
        <v>46142</v>
      </c>
      <c r="J26" s="8" t="s">
        <v>532</v>
      </c>
      <c r="K26" s="20" t="s">
        <v>533</v>
      </c>
      <c r="L26" s="9">
        <v>300000</v>
      </c>
      <c r="M26" s="8" t="s">
        <v>13</v>
      </c>
    </row>
    <row r="27" spans="1:13" x14ac:dyDescent="0.25">
      <c r="A27" s="8"/>
      <c r="B27" s="8"/>
      <c r="C27" s="8"/>
      <c r="D27" s="8"/>
      <c r="E27" s="9"/>
      <c r="F27" s="9"/>
      <c r="G27" s="9"/>
      <c r="H27" s="8"/>
      <c r="I27" s="41"/>
      <c r="J27" s="20"/>
      <c r="K27" s="20"/>
      <c r="L27" s="9"/>
      <c r="M27" s="8"/>
    </row>
    <row r="28" spans="1:13" ht="45" x14ac:dyDescent="0.25">
      <c r="A28" s="7">
        <v>46154</v>
      </c>
      <c r="B28" s="20" t="s">
        <v>565</v>
      </c>
      <c r="C28" s="20" t="s">
        <v>580</v>
      </c>
      <c r="D28" s="8"/>
      <c r="E28" s="9"/>
      <c r="F28" s="9">
        <v>300000</v>
      </c>
      <c r="G28" s="9"/>
      <c r="H28" s="8"/>
      <c r="I28" s="7">
        <v>46142</v>
      </c>
      <c r="J28" s="20" t="s">
        <v>535</v>
      </c>
      <c r="K28" s="20" t="s">
        <v>534</v>
      </c>
      <c r="L28" s="9">
        <f>85000+405000</f>
        <v>490000</v>
      </c>
      <c r="M28" s="8">
        <v>772306796</v>
      </c>
    </row>
    <row r="29" spans="1:13" x14ac:dyDescent="0.25">
      <c r="A29" s="8"/>
      <c r="B29" s="8"/>
      <c r="C29" s="8"/>
      <c r="D29" s="8"/>
      <c r="E29" s="9"/>
      <c r="F29" s="9"/>
      <c r="G29" s="9"/>
      <c r="H29" s="8"/>
      <c r="I29" s="7"/>
      <c r="J29" s="8"/>
      <c r="K29" s="20"/>
      <c r="L29" s="9"/>
      <c r="M29" s="8"/>
    </row>
    <row r="30" spans="1:13" ht="30" x14ac:dyDescent="0.25">
      <c r="A30" s="7">
        <v>46157</v>
      </c>
      <c r="B30" s="20" t="s">
        <v>565</v>
      </c>
      <c r="C30" s="20" t="s">
        <v>580</v>
      </c>
      <c r="D30" s="8"/>
      <c r="E30" s="9"/>
      <c r="F30" s="9">
        <v>5453000</v>
      </c>
      <c r="G30" s="9"/>
      <c r="H30" s="8"/>
      <c r="I30" s="7">
        <v>46142</v>
      </c>
      <c r="J30" s="20" t="s">
        <v>536</v>
      </c>
      <c r="K30" s="20" t="s">
        <v>537</v>
      </c>
      <c r="L30" s="9">
        <v>55000</v>
      </c>
      <c r="M30" s="8" t="s">
        <v>13</v>
      </c>
    </row>
    <row r="31" spans="1:13" x14ac:dyDescent="0.25">
      <c r="A31" s="8"/>
      <c r="B31" s="8"/>
      <c r="C31" s="8"/>
      <c r="D31" s="8"/>
      <c r="E31" s="9"/>
      <c r="F31" s="9"/>
      <c r="G31" s="9"/>
      <c r="H31" s="8"/>
      <c r="I31" s="7"/>
      <c r="J31" s="20"/>
      <c r="K31" s="20"/>
      <c r="L31" s="9"/>
      <c r="M31" s="8"/>
    </row>
    <row r="32" spans="1:13" ht="30" x14ac:dyDescent="0.25">
      <c r="A32" s="7">
        <v>46158</v>
      </c>
      <c r="B32" s="8" t="s">
        <v>601</v>
      </c>
      <c r="C32" s="20" t="s">
        <v>602</v>
      </c>
      <c r="D32" s="8"/>
      <c r="E32" s="9"/>
      <c r="F32" s="9">
        <v>300000</v>
      </c>
      <c r="G32" s="9"/>
      <c r="H32" s="8"/>
      <c r="I32" s="7">
        <v>46142</v>
      </c>
      <c r="J32" s="8" t="s">
        <v>329</v>
      </c>
      <c r="K32" s="20" t="s">
        <v>538</v>
      </c>
      <c r="L32" s="9">
        <v>580000</v>
      </c>
      <c r="M32" s="8" t="s">
        <v>13</v>
      </c>
    </row>
    <row r="33" spans="1:13" x14ac:dyDescent="0.25">
      <c r="A33" s="8"/>
      <c r="B33" s="8"/>
      <c r="C33" s="8"/>
      <c r="D33" s="8"/>
      <c r="E33" s="9"/>
      <c r="F33" s="9"/>
      <c r="G33" s="9"/>
      <c r="H33" s="8"/>
      <c r="I33" s="7"/>
      <c r="J33" s="8"/>
      <c r="K33" s="20"/>
      <c r="L33" s="9"/>
      <c r="M33" s="8"/>
    </row>
    <row r="34" spans="1:13" ht="30" x14ac:dyDescent="0.25">
      <c r="A34" s="8"/>
      <c r="B34" s="8"/>
      <c r="C34" s="8"/>
      <c r="D34" s="8"/>
      <c r="E34" s="9"/>
      <c r="F34" s="9"/>
      <c r="G34" s="9"/>
      <c r="H34" s="8"/>
      <c r="I34" s="7">
        <v>46144</v>
      </c>
      <c r="J34" s="20" t="s">
        <v>232</v>
      </c>
      <c r="K34" s="20" t="s">
        <v>542</v>
      </c>
      <c r="L34" s="9">
        <v>255000</v>
      </c>
      <c r="M34" s="20">
        <v>779915273</v>
      </c>
    </row>
    <row r="35" spans="1:13" ht="30" x14ac:dyDescent="0.25">
      <c r="A35" s="8"/>
      <c r="B35" s="8"/>
      <c r="C35" s="8"/>
      <c r="D35" s="8"/>
      <c r="E35" s="9"/>
      <c r="F35" s="9"/>
      <c r="G35" s="9"/>
      <c r="H35" s="8"/>
      <c r="I35" s="7">
        <v>46145</v>
      </c>
      <c r="J35" s="20" t="s">
        <v>540</v>
      </c>
      <c r="K35" s="20" t="s">
        <v>541</v>
      </c>
      <c r="L35" s="9">
        <v>945000</v>
      </c>
      <c r="M35" s="20" t="s">
        <v>545</v>
      </c>
    </row>
    <row r="36" spans="1:13" ht="30" x14ac:dyDescent="0.25">
      <c r="A36" s="8"/>
      <c r="B36" s="8"/>
      <c r="C36" s="8"/>
      <c r="D36" s="8"/>
      <c r="E36" s="9"/>
      <c r="F36" s="9"/>
      <c r="G36" s="9"/>
      <c r="H36" s="8"/>
      <c r="I36" s="7">
        <v>46145</v>
      </c>
      <c r="J36" s="8" t="s">
        <v>539</v>
      </c>
      <c r="K36" s="20" t="s">
        <v>546</v>
      </c>
      <c r="L36" s="9">
        <v>810000</v>
      </c>
      <c r="M36" s="20">
        <v>772944146</v>
      </c>
    </row>
    <row r="37" spans="1:13" x14ac:dyDescent="0.25">
      <c r="A37" s="8"/>
      <c r="B37" s="8"/>
      <c r="C37" s="8"/>
      <c r="D37" s="8"/>
      <c r="E37" s="9"/>
      <c r="F37" s="9"/>
      <c r="G37" s="9"/>
      <c r="H37" s="8"/>
      <c r="I37" s="7"/>
      <c r="J37" s="8"/>
      <c r="K37" s="20"/>
      <c r="L37" s="9"/>
      <c r="M37" s="8"/>
    </row>
    <row r="38" spans="1:13" x14ac:dyDescent="0.25">
      <c r="A38" s="8"/>
      <c r="B38" s="8"/>
      <c r="C38" s="8"/>
      <c r="D38" s="8"/>
      <c r="E38" s="9"/>
      <c r="F38" s="9"/>
      <c r="G38" s="9"/>
      <c r="H38" s="8"/>
      <c r="I38" s="7">
        <v>46145</v>
      </c>
      <c r="J38" s="8" t="s">
        <v>544</v>
      </c>
      <c r="K38" s="20" t="s">
        <v>543</v>
      </c>
      <c r="L38" s="9">
        <v>1090000</v>
      </c>
      <c r="M38" s="8">
        <v>78474430011</v>
      </c>
    </row>
    <row r="39" spans="1:13" x14ac:dyDescent="0.25">
      <c r="A39" s="8"/>
      <c r="B39" s="8"/>
      <c r="C39" s="8"/>
      <c r="D39" s="8"/>
      <c r="E39" s="9"/>
      <c r="F39" s="9"/>
      <c r="G39" s="9"/>
      <c r="H39" s="8"/>
      <c r="I39" s="7"/>
      <c r="J39" s="8"/>
      <c r="K39" s="20"/>
      <c r="L39" s="9"/>
      <c r="M39" s="8"/>
    </row>
    <row r="40" spans="1:13" x14ac:dyDescent="0.25">
      <c r="A40" s="8"/>
      <c r="B40" s="8"/>
      <c r="C40" s="8"/>
      <c r="D40" s="8"/>
      <c r="E40" s="9"/>
      <c r="F40" s="9"/>
      <c r="G40" s="9"/>
      <c r="H40" s="8"/>
      <c r="I40" s="7"/>
      <c r="J40" s="8"/>
      <c r="K40" s="20" t="s">
        <v>425</v>
      </c>
      <c r="L40" s="9">
        <v>8000</v>
      </c>
      <c r="M40" s="8"/>
    </row>
    <row r="41" spans="1:13" x14ac:dyDescent="0.25">
      <c r="A41" s="8"/>
      <c r="B41" s="8"/>
      <c r="C41" s="8"/>
      <c r="D41" s="8"/>
      <c r="E41" s="9"/>
      <c r="F41" s="9"/>
      <c r="G41" s="9"/>
      <c r="H41" s="8"/>
      <c r="I41" s="7"/>
      <c r="J41" s="20"/>
      <c r="K41" s="20"/>
      <c r="L41" s="9"/>
      <c r="M41" s="8"/>
    </row>
    <row r="42" spans="1:13" x14ac:dyDescent="0.25">
      <c r="A42" s="8"/>
      <c r="B42" s="8"/>
      <c r="C42" s="8"/>
      <c r="D42" s="8"/>
      <c r="E42" s="9"/>
      <c r="F42" s="9"/>
      <c r="G42" s="9"/>
      <c r="H42" s="8"/>
      <c r="I42" s="7">
        <v>46146</v>
      </c>
      <c r="J42" s="20" t="s">
        <v>548</v>
      </c>
      <c r="K42" s="20" t="s">
        <v>549</v>
      </c>
      <c r="L42" s="9">
        <v>525000</v>
      </c>
      <c r="M42" s="8">
        <v>701665831</v>
      </c>
    </row>
    <row r="43" spans="1:13" x14ac:dyDescent="0.25">
      <c r="A43" s="8"/>
      <c r="B43" s="8"/>
      <c r="C43" s="8"/>
      <c r="D43" s="8"/>
      <c r="E43" s="9"/>
      <c r="F43" s="9"/>
      <c r="G43" s="9"/>
      <c r="H43" s="8"/>
      <c r="I43" s="7"/>
      <c r="J43" s="20"/>
      <c r="K43" s="20"/>
      <c r="L43" s="9"/>
      <c r="M43" s="8"/>
    </row>
    <row r="44" spans="1:13" x14ac:dyDescent="0.25">
      <c r="A44" s="8"/>
      <c r="B44" s="8"/>
      <c r="C44" s="8"/>
      <c r="D44" s="8"/>
      <c r="E44" s="9"/>
      <c r="F44" s="9"/>
      <c r="G44" s="9"/>
      <c r="H44" s="8"/>
      <c r="I44" s="7"/>
      <c r="J44" s="20"/>
      <c r="K44" s="20" t="s">
        <v>425</v>
      </c>
      <c r="L44" s="9">
        <v>1500</v>
      </c>
      <c r="M44" s="8"/>
    </row>
    <row r="45" spans="1:13" x14ac:dyDescent="0.25">
      <c r="A45" s="8"/>
      <c r="B45" s="8"/>
      <c r="C45" s="8"/>
      <c r="D45" s="8"/>
      <c r="E45" s="9"/>
      <c r="F45" s="9"/>
      <c r="G45" s="9"/>
      <c r="H45" s="8"/>
      <c r="I45" s="7">
        <v>46146</v>
      </c>
      <c r="J45" s="8" t="s">
        <v>140</v>
      </c>
      <c r="K45" s="20" t="s">
        <v>88</v>
      </c>
      <c r="L45" s="9">
        <v>8000</v>
      </c>
      <c r="M45" s="8" t="s">
        <v>13</v>
      </c>
    </row>
    <row r="46" spans="1:13" x14ac:dyDescent="0.25">
      <c r="A46" s="8"/>
      <c r="B46" s="8"/>
      <c r="C46" s="8"/>
      <c r="D46" s="8"/>
      <c r="E46" s="9"/>
      <c r="F46" s="9"/>
      <c r="G46" s="9"/>
      <c r="H46" s="8"/>
      <c r="I46" s="7"/>
      <c r="J46" s="20"/>
      <c r="K46" s="20"/>
      <c r="L46" s="9"/>
      <c r="M46" s="8"/>
    </row>
    <row r="47" spans="1:13" x14ac:dyDescent="0.25">
      <c r="A47" s="8"/>
      <c r="B47" s="8"/>
      <c r="C47" s="8"/>
      <c r="D47" s="8"/>
      <c r="E47" s="9"/>
      <c r="F47" s="9"/>
      <c r="G47" s="9"/>
      <c r="H47" s="8"/>
      <c r="I47" s="7">
        <v>46147</v>
      </c>
      <c r="J47" s="20" t="s">
        <v>552</v>
      </c>
      <c r="K47" s="20" t="s">
        <v>551</v>
      </c>
      <c r="L47" s="9">
        <v>26000</v>
      </c>
      <c r="M47" s="8">
        <v>792505557</v>
      </c>
    </row>
    <row r="48" spans="1:13" x14ac:dyDescent="0.25">
      <c r="A48" s="8"/>
      <c r="B48" s="8"/>
      <c r="C48" s="8"/>
      <c r="D48" s="8"/>
      <c r="E48" s="9"/>
      <c r="F48" s="9"/>
      <c r="G48" s="9"/>
      <c r="H48" s="8"/>
      <c r="I48" s="7"/>
      <c r="J48" s="20"/>
      <c r="K48" s="20"/>
      <c r="L48" s="9"/>
      <c r="M48" s="8"/>
    </row>
    <row r="49" spans="1:17" ht="30" x14ac:dyDescent="0.25">
      <c r="A49" s="8"/>
      <c r="B49" s="8"/>
      <c r="C49" s="8"/>
      <c r="D49" s="8"/>
      <c r="E49" s="9"/>
      <c r="F49" s="9"/>
      <c r="G49" s="9"/>
      <c r="H49" s="8"/>
      <c r="I49" s="81">
        <v>46148</v>
      </c>
      <c r="J49" s="82" t="s">
        <v>553</v>
      </c>
      <c r="K49" s="82" t="s">
        <v>554</v>
      </c>
      <c r="L49" s="83">
        <v>1500000</v>
      </c>
      <c r="M49" s="84">
        <v>207806383</v>
      </c>
      <c r="N49" s="72" t="s">
        <v>655</v>
      </c>
      <c r="O49" s="72"/>
      <c r="P49" s="72"/>
      <c r="Q49" s="72"/>
    </row>
    <row r="50" spans="1:17" x14ac:dyDescent="0.25">
      <c r="A50" s="8"/>
      <c r="B50" s="8"/>
      <c r="C50" s="8"/>
      <c r="D50" s="8"/>
      <c r="E50" s="9"/>
      <c r="F50" s="9"/>
      <c r="G50" s="9"/>
      <c r="H50" s="8"/>
      <c r="I50" s="7"/>
      <c r="J50" s="20"/>
      <c r="K50" s="20"/>
      <c r="L50" s="9"/>
      <c r="M50" s="8"/>
    </row>
    <row r="51" spans="1:17" ht="30" x14ac:dyDescent="0.25">
      <c r="A51" s="8"/>
      <c r="B51" s="8"/>
      <c r="C51" s="8"/>
      <c r="D51" s="8"/>
      <c r="E51" s="9"/>
      <c r="F51" s="9"/>
      <c r="G51" s="9"/>
      <c r="H51" s="8"/>
      <c r="I51" s="7">
        <v>46148</v>
      </c>
      <c r="J51" s="20" t="s">
        <v>271</v>
      </c>
      <c r="K51" s="20" t="s">
        <v>550</v>
      </c>
      <c r="L51" s="9">
        <v>180000</v>
      </c>
      <c r="M51" s="8">
        <v>701665831</v>
      </c>
    </row>
    <row r="52" spans="1:17" x14ac:dyDescent="0.25">
      <c r="A52" s="8"/>
      <c r="B52" s="8"/>
      <c r="C52" s="8"/>
      <c r="D52" s="8"/>
      <c r="E52" s="9"/>
      <c r="F52" s="9"/>
      <c r="G52" s="9"/>
      <c r="H52" s="8"/>
      <c r="I52" s="7"/>
      <c r="J52" s="20"/>
      <c r="K52" s="20"/>
      <c r="L52" s="9"/>
      <c r="M52" s="8"/>
    </row>
    <row r="53" spans="1:17" ht="42.75" customHeight="1" x14ac:dyDescent="0.25">
      <c r="A53" s="8"/>
      <c r="B53" s="8"/>
      <c r="C53" s="8"/>
      <c r="D53" s="8"/>
      <c r="E53" s="9"/>
      <c r="F53" s="9"/>
      <c r="G53" s="9"/>
      <c r="H53" s="8"/>
      <c r="I53" s="7">
        <v>46149</v>
      </c>
      <c r="J53" s="20" t="s">
        <v>555</v>
      </c>
      <c r="K53" s="20" t="s">
        <v>559</v>
      </c>
      <c r="L53" s="9">
        <v>416600</v>
      </c>
      <c r="M53" s="8" t="s">
        <v>556</v>
      </c>
    </row>
    <row r="54" spans="1:17" ht="15.75" customHeight="1" x14ac:dyDescent="0.25">
      <c r="A54" s="8"/>
      <c r="B54" s="8"/>
      <c r="C54" s="8"/>
      <c r="D54" s="8"/>
      <c r="E54" s="9"/>
      <c r="F54" s="9"/>
      <c r="G54" s="9"/>
      <c r="H54" s="8"/>
      <c r="I54" s="7"/>
      <c r="J54" s="20"/>
      <c r="K54" s="20" t="s">
        <v>557</v>
      </c>
      <c r="L54" s="9">
        <v>10800</v>
      </c>
      <c r="M54" s="8"/>
    </row>
    <row r="55" spans="1:17" x14ac:dyDescent="0.25">
      <c r="A55" s="8"/>
      <c r="B55" s="8"/>
      <c r="C55" s="8"/>
      <c r="D55" s="8"/>
      <c r="E55" s="9"/>
      <c r="F55" s="9"/>
      <c r="G55" s="9"/>
      <c r="H55" s="8"/>
      <c r="I55" s="7"/>
      <c r="J55" s="20"/>
      <c r="K55" s="20"/>
      <c r="L55" s="9"/>
      <c r="M55" s="8"/>
    </row>
    <row r="56" spans="1:17" x14ac:dyDescent="0.25">
      <c r="A56" s="8"/>
      <c r="B56" s="8"/>
      <c r="C56" s="8"/>
      <c r="D56" s="8"/>
      <c r="E56" s="9"/>
      <c r="F56" s="9"/>
      <c r="G56" s="9"/>
      <c r="H56" s="8"/>
      <c r="I56" s="7">
        <v>46149</v>
      </c>
      <c r="J56" s="20" t="s">
        <v>345</v>
      </c>
      <c r="K56" s="20" t="s">
        <v>560</v>
      </c>
      <c r="L56" s="9">
        <v>176000</v>
      </c>
      <c r="M56" s="8">
        <v>771452920</v>
      </c>
    </row>
    <row r="57" spans="1:17" x14ac:dyDescent="0.25">
      <c r="A57" s="8"/>
      <c r="B57" s="8"/>
      <c r="C57" s="8"/>
      <c r="D57" s="8"/>
      <c r="E57" s="9"/>
      <c r="F57" s="9" t="s">
        <v>558</v>
      </c>
      <c r="G57" s="9"/>
      <c r="H57" s="8"/>
      <c r="I57" s="7"/>
      <c r="J57" s="20"/>
      <c r="K57" s="20"/>
      <c r="L57" s="9"/>
      <c r="M57" s="8"/>
    </row>
    <row r="58" spans="1:17" ht="30" x14ac:dyDescent="0.25">
      <c r="A58" s="8"/>
      <c r="B58" s="8"/>
      <c r="C58" s="8"/>
      <c r="D58" s="8"/>
      <c r="E58" s="9"/>
      <c r="F58" s="9"/>
      <c r="G58" s="9"/>
      <c r="H58" s="8"/>
      <c r="I58" s="7">
        <v>46150</v>
      </c>
      <c r="J58" s="20" t="s">
        <v>562</v>
      </c>
      <c r="K58" s="20" t="s">
        <v>561</v>
      </c>
      <c r="L58" s="9">
        <v>277000</v>
      </c>
      <c r="M58" s="8">
        <v>776312022</v>
      </c>
    </row>
    <row r="59" spans="1:17" x14ac:dyDescent="0.25">
      <c r="A59" s="8"/>
      <c r="B59" s="8"/>
      <c r="C59" s="8"/>
      <c r="D59" s="8"/>
      <c r="E59" s="9"/>
      <c r="F59" s="9"/>
      <c r="G59" s="9"/>
      <c r="H59" s="8"/>
      <c r="I59" s="7"/>
      <c r="J59" s="20"/>
      <c r="K59" s="20"/>
      <c r="L59" s="9"/>
      <c r="M59" s="8"/>
    </row>
    <row r="60" spans="1:17" ht="30" x14ac:dyDescent="0.25">
      <c r="A60" s="8"/>
      <c r="B60" s="8"/>
      <c r="C60" s="8"/>
      <c r="D60" s="8"/>
      <c r="E60" s="9"/>
      <c r="F60" s="9"/>
      <c r="G60" s="9"/>
      <c r="H60" s="8"/>
      <c r="I60" s="7">
        <v>46152</v>
      </c>
      <c r="J60" s="20" t="s">
        <v>232</v>
      </c>
      <c r="K60" s="20" t="s">
        <v>567</v>
      </c>
      <c r="L60" s="9">
        <v>250000</v>
      </c>
      <c r="M60" s="8">
        <v>779915273</v>
      </c>
    </row>
    <row r="61" spans="1:17" x14ac:dyDescent="0.25">
      <c r="A61" s="8"/>
      <c r="B61" s="8"/>
      <c r="C61" s="8"/>
      <c r="D61" s="8"/>
      <c r="E61" s="9"/>
      <c r="F61" s="9"/>
      <c r="G61" s="9"/>
      <c r="H61" s="8"/>
      <c r="I61" s="7"/>
      <c r="J61" s="20"/>
      <c r="K61" s="20"/>
      <c r="L61" s="9"/>
      <c r="M61" s="8"/>
    </row>
    <row r="62" spans="1:17" ht="45" x14ac:dyDescent="0.25">
      <c r="A62" s="8"/>
      <c r="B62" s="8"/>
      <c r="C62" s="8"/>
      <c r="D62" s="8"/>
      <c r="E62" s="9"/>
      <c r="F62" s="9"/>
      <c r="G62" s="9"/>
      <c r="H62" s="8"/>
      <c r="I62" s="7">
        <v>46153</v>
      </c>
      <c r="J62" s="20" t="s">
        <v>573</v>
      </c>
      <c r="K62" s="20" t="s">
        <v>568</v>
      </c>
      <c r="L62" s="9">
        <v>1500000</v>
      </c>
      <c r="M62" s="8">
        <v>772700423</v>
      </c>
    </row>
    <row r="63" spans="1:17" x14ac:dyDescent="0.25">
      <c r="A63" s="8"/>
      <c r="B63" s="8"/>
      <c r="C63" s="8"/>
      <c r="D63" s="8"/>
      <c r="E63" s="9"/>
      <c r="F63" s="9"/>
      <c r="G63" s="9"/>
      <c r="H63" s="8"/>
      <c r="I63" s="7"/>
      <c r="J63" s="20"/>
      <c r="K63" s="20"/>
      <c r="L63" s="9"/>
      <c r="M63" s="8"/>
    </row>
    <row r="64" spans="1:17" x14ac:dyDescent="0.25">
      <c r="A64" s="8"/>
      <c r="B64" s="8"/>
      <c r="C64" s="8"/>
      <c r="D64" s="8"/>
      <c r="E64" s="9"/>
      <c r="F64" s="9"/>
      <c r="G64" s="9"/>
      <c r="H64" s="8"/>
      <c r="I64" s="7">
        <v>46154</v>
      </c>
      <c r="J64" s="20" t="s">
        <v>277</v>
      </c>
      <c r="K64" s="20" t="s">
        <v>570</v>
      </c>
      <c r="L64" s="9">
        <v>67000</v>
      </c>
      <c r="M64" s="8" t="s">
        <v>569</v>
      </c>
    </row>
    <row r="65" spans="1:14" x14ac:dyDescent="0.25">
      <c r="A65" s="8"/>
      <c r="B65" s="8"/>
      <c r="C65" s="8"/>
      <c r="D65" s="8"/>
      <c r="E65" s="9"/>
      <c r="F65" s="9"/>
      <c r="G65" s="9"/>
      <c r="H65" s="8"/>
      <c r="I65" s="7"/>
      <c r="J65" s="20"/>
      <c r="K65" s="20"/>
      <c r="L65" s="9"/>
      <c r="M65" s="8"/>
    </row>
    <row r="66" spans="1:14" ht="30" x14ac:dyDescent="0.25">
      <c r="A66" s="8"/>
      <c r="B66" s="8"/>
      <c r="C66" s="8"/>
      <c r="D66" s="8"/>
      <c r="E66" s="9"/>
      <c r="F66" s="9"/>
      <c r="G66" s="9"/>
      <c r="H66" s="8"/>
      <c r="I66" s="7">
        <v>46154</v>
      </c>
      <c r="J66" s="20" t="s">
        <v>572</v>
      </c>
      <c r="K66" s="20" t="s">
        <v>571</v>
      </c>
      <c r="L66" s="9">
        <v>51000</v>
      </c>
      <c r="M66" s="8">
        <v>779915273</v>
      </c>
    </row>
    <row r="67" spans="1:14" x14ac:dyDescent="0.25">
      <c r="A67" s="8"/>
      <c r="B67" s="8"/>
      <c r="C67" s="8"/>
      <c r="D67" s="8"/>
      <c r="E67" s="9"/>
      <c r="F67" s="9"/>
      <c r="G67" s="9"/>
      <c r="H67" s="8"/>
      <c r="I67" s="7"/>
      <c r="J67" s="20"/>
      <c r="K67" s="20"/>
      <c r="L67" s="9"/>
      <c r="M67" s="8"/>
    </row>
    <row r="68" spans="1:14" x14ac:dyDescent="0.25">
      <c r="A68" s="8"/>
      <c r="B68" s="8"/>
      <c r="C68" s="8"/>
      <c r="D68" s="8"/>
      <c r="E68" s="9"/>
      <c r="F68" s="9"/>
      <c r="G68" s="9"/>
      <c r="H68" s="8"/>
      <c r="I68" s="7">
        <v>46154</v>
      </c>
      <c r="J68" s="20" t="s">
        <v>576</v>
      </c>
      <c r="K68" s="20" t="s">
        <v>575</v>
      </c>
      <c r="L68" s="9">
        <v>50000</v>
      </c>
      <c r="M68" s="8" t="s">
        <v>574</v>
      </c>
    </row>
    <row r="69" spans="1:14" x14ac:dyDescent="0.25">
      <c r="A69" s="8"/>
      <c r="B69" s="8"/>
      <c r="C69" s="8"/>
      <c r="D69" s="8"/>
      <c r="E69" s="9"/>
      <c r="F69" s="9"/>
      <c r="G69" s="9"/>
      <c r="H69" s="8"/>
      <c r="I69" s="7"/>
      <c r="J69" s="20"/>
      <c r="K69" s="20"/>
      <c r="L69" s="9"/>
      <c r="M69" s="8"/>
    </row>
    <row r="70" spans="1:14" s="72" customFormat="1" ht="30" x14ac:dyDescent="0.25">
      <c r="A70" s="84"/>
      <c r="B70" s="84"/>
      <c r="C70" s="84"/>
      <c r="D70" s="84"/>
      <c r="E70" s="83"/>
      <c r="F70" s="83"/>
      <c r="G70" s="83"/>
      <c r="H70" s="84"/>
      <c r="I70" s="81">
        <v>46155</v>
      </c>
      <c r="J70" s="82" t="s">
        <v>24</v>
      </c>
      <c r="K70" s="82" t="s">
        <v>581</v>
      </c>
      <c r="L70" s="83">
        <v>1208200</v>
      </c>
      <c r="M70" s="82" t="s">
        <v>577</v>
      </c>
      <c r="N70" s="72" t="s">
        <v>656</v>
      </c>
    </row>
    <row r="71" spans="1:14" x14ac:dyDescent="0.25">
      <c r="A71" s="8"/>
      <c r="B71" s="8"/>
      <c r="C71" s="8"/>
      <c r="D71" s="8"/>
      <c r="E71" s="9"/>
      <c r="F71" s="9"/>
      <c r="G71" s="9"/>
      <c r="H71" s="8"/>
      <c r="I71" s="7"/>
      <c r="J71" s="20"/>
      <c r="K71" s="20"/>
      <c r="L71" s="9"/>
      <c r="M71" s="8"/>
    </row>
    <row r="72" spans="1:14" ht="30" x14ac:dyDescent="0.25">
      <c r="A72" s="8"/>
      <c r="B72" s="8"/>
      <c r="C72" s="8"/>
      <c r="D72" s="8"/>
      <c r="E72" s="9"/>
      <c r="F72" s="9"/>
      <c r="G72" s="9"/>
      <c r="H72" s="8"/>
      <c r="I72" s="7">
        <v>46155</v>
      </c>
      <c r="J72" s="20" t="s">
        <v>25</v>
      </c>
      <c r="K72" s="20" t="s">
        <v>583</v>
      </c>
      <c r="L72" s="9">
        <v>253800</v>
      </c>
      <c r="M72" s="8">
        <v>754834591</v>
      </c>
    </row>
    <row r="73" spans="1:14" x14ac:dyDescent="0.25">
      <c r="A73" s="8"/>
      <c r="B73" s="8"/>
      <c r="C73" s="8"/>
      <c r="D73" s="8"/>
      <c r="E73" s="9"/>
      <c r="F73" s="9"/>
      <c r="G73" s="9"/>
      <c r="H73" s="8"/>
      <c r="I73" s="7"/>
      <c r="J73" s="20"/>
      <c r="K73" s="20"/>
      <c r="L73" s="9"/>
      <c r="M73" s="8"/>
    </row>
    <row r="74" spans="1:14" ht="45" x14ac:dyDescent="0.25">
      <c r="A74" s="8"/>
      <c r="B74" s="8"/>
      <c r="C74" s="8"/>
      <c r="D74" s="8"/>
      <c r="E74" s="9"/>
      <c r="F74" s="9"/>
      <c r="G74" s="9"/>
      <c r="H74" s="8"/>
      <c r="I74" s="7">
        <v>46156</v>
      </c>
      <c r="J74" s="20" t="s">
        <v>187</v>
      </c>
      <c r="K74" s="20" t="s">
        <v>584</v>
      </c>
      <c r="L74" s="9">
        <v>397000</v>
      </c>
      <c r="M74" s="8">
        <v>702750820</v>
      </c>
    </row>
    <row r="75" spans="1:14" x14ac:dyDescent="0.25">
      <c r="A75" s="8"/>
      <c r="B75" s="8"/>
      <c r="C75" s="8"/>
      <c r="D75" s="8"/>
      <c r="E75" s="9"/>
      <c r="F75" s="9"/>
      <c r="G75" s="9"/>
      <c r="H75" s="8"/>
      <c r="I75" s="7"/>
      <c r="J75" s="20"/>
      <c r="K75" s="20"/>
      <c r="L75" s="9"/>
      <c r="M75" s="8"/>
    </row>
    <row r="76" spans="1:14" ht="45" x14ac:dyDescent="0.25">
      <c r="A76" s="8"/>
      <c r="B76" s="8"/>
      <c r="C76" s="8"/>
      <c r="D76" s="8"/>
      <c r="E76" s="9"/>
      <c r="F76" s="9"/>
      <c r="G76" s="9"/>
      <c r="H76" s="8"/>
      <c r="I76" s="7">
        <v>46156</v>
      </c>
      <c r="J76" s="20" t="s">
        <v>562</v>
      </c>
      <c r="K76" s="20" t="s">
        <v>585</v>
      </c>
      <c r="L76" s="9">
        <v>242000</v>
      </c>
      <c r="M76" s="8">
        <v>776312022</v>
      </c>
    </row>
    <row r="77" spans="1:14" x14ac:dyDescent="0.25">
      <c r="A77" s="8"/>
      <c r="B77" s="8"/>
      <c r="C77" s="8"/>
      <c r="D77" s="8"/>
      <c r="E77" s="9"/>
      <c r="F77" s="9"/>
      <c r="G77" s="9"/>
      <c r="H77" s="8"/>
      <c r="I77" s="7"/>
      <c r="J77" s="20"/>
      <c r="K77" s="20"/>
      <c r="L77" s="9"/>
      <c r="M77" s="8"/>
    </row>
    <row r="78" spans="1:14" x14ac:dyDescent="0.25">
      <c r="A78" s="8"/>
      <c r="B78" s="8"/>
      <c r="C78" s="8"/>
      <c r="D78" s="8"/>
      <c r="E78" s="9"/>
      <c r="F78" s="9"/>
      <c r="G78" s="9"/>
      <c r="H78" s="8"/>
      <c r="I78" s="7">
        <v>46156</v>
      </c>
      <c r="J78" s="20" t="s">
        <v>532</v>
      </c>
      <c r="K78" s="20" t="s">
        <v>586</v>
      </c>
      <c r="L78" s="9">
        <v>50000</v>
      </c>
      <c r="M78" s="8" t="s">
        <v>13</v>
      </c>
    </row>
    <row r="79" spans="1:14" ht="30" x14ac:dyDescent="0.25">
      <c r="A79" s="8"/>
      <c r="B79" s="8"/>
      <c r="C79" s="8"/>
      <c r="D79" s="8"/>
      <c r="E79" s="9"/>
      <c r="F79" s="9"/>
      <c r="G79" s="9"/>
      <c r="H79" s="8"/>
      <c r="I79" s="7">
        <v>46156</v>
      </c>
      <c r="J79" s="20" t="s">
        <v>140</v>
      </c>
      <c r="K79" s="20" t="s">
        <v>599</v>
      </c>
      <c r="L79" s="9">
        <v>6000</v>
      </c>
      <c r="M79" s="20" t="s">
        <v>13</v>
      </c>
    </row>
    <row r="80" spans="1:14" x14ac:dyDescent="0.25">
      <c r="A80" s="8"/>
      <c r="B80" s="8"/>
      <c r="C80" s="8"/>
      <c r="D80" s="8"/>
      <c r="E80" s="9"/>
      <c r="F80" s="9"/>
      <c r="G80" s="9"/>
      <c r="H80" s="8"/>
      <c r="I80" s="7"/>
      <c r="J80" s="20"/>
      <c r="K80" s="20"/>
      <c r="L80" s="9"/>
      <c r="M80" s="8"/>
    </row>
    <row r="81" spans="1:13" ht="30" x14ac:dyDescent="0.25">
      <c r="A81" s="8"/>
      <c r="B81" s="8"/>
      <c r="C81" s="8"/>
      <c r="D81" s="8"/>
      <c r="E81" s="9"/>
      <c r="F81" s="9"/>
      <c r="G81" s="9"/>
      <c r="H81" s="8"/>
      <c r="I81" s="7">
        <v>46157</v>
      </c>
      <c r="J81" s="20" t="s">
        <v>588</v>
      </c>
      <c r="K81" s="20" t="s">
        <v>587</v>
      </c>
      <c r="L81" s="9">
        <v>300000</v>
      </c>
      <c r="M81" s="8">
        <v>740910438</v>
      </c>
    </row>
    <row r="82" spans="1:13" x14ac:dyDescent="0.25">
      <c r="A82" s="8"/>
      <c r="B82" s="8"/>
      <c r="C82" s="8"/>
      <c r="D82" s="8"/>
      <c r="E82" s="9"/>
      <c r="F82" s="9"/>
      <c r="G82" s="9"/>
      <c r="H82" s="8"/>
      <c r="I82" s="7"/>
      <c r="J82" s="20"/>
      <c r="K82" s="20"/>
      <c r="L82" s="9"/>
      <c r="M82" s="8"/>
    </row>
    <row r="83" spans="1:13" ht="60" x14ac:dyDescent="0.25">
      <c r="A83" s="8"/>
      <c r="B83" s="8"/>
      <c r="C83" s="8"/>
      <c r="D83" s="8"/>
      <c r="E83" s="9"/>
      <c r="F83" s="9"/>
      <c r="G83" s="9"/>
      <c r="H83" s="8"/>
      <c r="I83" s="7">
        <v>46157</v>
      </c>
      <c r="J83" s="20" t="s">
        <v>562</v>
      </c>
      <c r="K83" s="20" t="s">
        <v>597</v>
      </c>
      <c r="L83" s="9">
        <v>230000</v>
      </c>
      <c r="M83" s="8">
        <v>776312022</v>
      </c>
    </row>
    <row r="84" spans="1:13" x14ac:dyDescent="0.25">
      <c r="A84" s="8"/>
      <c r="B84" s="8"/>
      <c r="C84" s="8"/>
      <c r="D84" s="8"/>
      <c r="E84" s="9"/>
      <c r="F84" s="9"/>
      <c r="G84" s="9"/>
      <c r="H84" s="8"/>
      <c r="I84" s="7"/>
      <c r="J84" s="20"/>
      <c r="K84" s="20"/>
      <c r="L84" s="9"/>
      <c r="M84" s="8"/>
    </row>
    <row r="85" spans="1:13" s="61" customFormat="1" ht="30" x14ac:dyDescent="0.25">
      <c r="A85" s="8"/>
      <c r="B85" s="8"/>
      <c r="C85" s="8"/>
      <c r="D85" s="8"/>
      <c r="E85" s="9"/>
      <c r="F85" s="9"/>
      <c r="G85" s="9"/>
      <c r="H85" s="8"/>
      <c r="I85" s="7">
        <v>46158</v>
      </c>
      <c r="J85" s="20" t="s">
        <v>598</v>
      </c>
      <c r="K85" s="20" t="s">
        <v>600</v>
      </c>
      <c r="L85" s="9">
        <v>80000</v>
      </c>
      <c r="M85" s="8">
        <v>756808619</v>
      </c>
    </row>
    <row r="86" spans="1:13" s="61" customFormat="1" x14ac:dyDescent="0.25">
      <c r="A86" s="8"/>
      <c r="B86" s="8"/>
      <c r="C86" s="8"/>
      <c r="D86" s="8"/>
      <c r="E86" s="9"/>
      <c r="F86" s="9"/>
      <c r="G86" s="9"/>
      <c r="H86" s="8"/>
      <c r="I86" s="7"/>
      <c r="J86" s="20"/>
      <c r="K86" s="20"/>
      <c r="L86" s="9"/>
      <c r="M86" s="8"/>
    </row>
    <row r="87" spans="1:13" s="62" customFormat="1" ht="30" x14ac:dyDescent="0.25">
      <c r="A87" s="8"/>
      <c r="B87" s="8"/>
      <c r="C87" s="8"/>
      <c r="D87" s="8"/>
      <c r="E87" s="9"/>
      <c r="F87" s="9"/>
      <c r="G87" s="9"/>
      <c r="H87" s="8"/>
      <c r="I87" s="7">
        <v>46161</v>
      </c>
      <c r="J87" s="20" t="s">
        <v>140</v>
      </c>
      <c r="K87" s="20" t="s">
        <v>603</v>
      </c>
      <c r="L87" s="9">
        <v>20000</v>
      </c>
      <c r="M87" s="8" t="s">
        <v>13</v>
      </c>
    </row>
    <row r="88" spans="1:13" s="62" customFormat="1" ht="45" x14ac:dyDescent="0.25">
      <c r="A88" s="8"/>
      <c r="B88" s="8"/>
      <c r="C88" s="8"/>
      <c r="D88" s="8"/>
      <c r="E88" s="9"/>
      <c r="F88" s="9"/>
      <c r="G88" s="9"/>
      <c r="H88" s="8"/>
      <c r="I88" s="7">
        <v>46161</v>
      </c>
      <c r="J88" s="20" t="s">
        <v>232</v>
      </c>
      <c r="K88" s="20" t="s">
        <v>604</v>
      </c>
      <c r="L88" s="9">
        <v>238000</v>
      </c>
      <c r="M88" s="8">
        <v>779915273</v>
      </c>
    </row>
    <row r="89" spans="1:13" s="62" customFormat="1" x14ac:dyDescent="0.25">
      <c r="A89" s="8"/>
      <c r="B89" s="8"/>
      <c r="C89" s="8"/>
      <c r="D89" s="8"/>
      <c r="E89" s="9"/>
      <c r="F89" s="9"/>
      <c r="G89" s="9"/>
      <c r="H89" s="8"/>
      <c r="I89" s="7"/>
      <c r="J89" s="20"/>
      <c r="K89" s="20"/>
      <c r="L89" s="9"/>
      <c r="M89" s="8"/>
    </row>
    <row r="90" spans="1:13" s="61" customFormat="1" ht="30" x14ac:dyDescent="0.25">
      <c r="A90" s="8"/>
      <c r="B90" s="8"/>
      <c r="C90" s="8"/>
      <c r="D90" s="8"/>
      <c r="E90" s="9"/>
      <c r="F90" s="9"/>
      <c r="G90" s="9"/>
      <c r="H90" s="8"/>
      <c r="I90" s="7">
        <v>46161</v>
      </c>
      <c r="J90" s="20" t="s">
        <v>606</v>
      </c>
      <c r="K90" s="20" t="s">
        <v>605</v>
      </c>
      <c r="L90" s="9">
        <v>147000</v>
      </c>
      <c r="M90" s="8">
        <v>706006003</v>
      </c>
    </row>
    <row r="91" spans="1:13" s="62" customFormat="1" x14ac:dyDescent="0.25">
      <c r="A91" s="8"/>
      <c r="B91" s="8"/>
      <c r="C91" s="8"/>
      <c r="D91" s="8"/>
      <c r="E91" s="9"/>
      <c r="F91" s="9"/>
      <c r="G91" s="9"/>
      <c r="H91" s="8"/>
      <c r="I91" s="7"/>
      <c r="J91" s="20"/>
      <c r="K91" s="20"/>
      <c r="L91" s="9"/>
      <c r="M91" s="8"/>
    </row>
    <row r="92" spans="1:13" s="62" customFormat="1" ht="45" x14ac:dyDescent="0.25">
      <c r="A92" s="8"/>
      <c r="B92" s="8"/>
      <c r="C92" s="8"/>
      <c r="D92" s="8"/>
      <c r="E92" s="9"/>
      <c r="F92" s="9"/>
      <c r="G92" s="9"/>
      <c r="H92" s="8"/>
      <c r="I92" s="7">
        <v>46161</v>
      </c>
      <c r="J92" s="20" t="s">
        <v>607</v>
      </c>
      <c r="K92" s="20" t="s">
        <v>614</v>
      </c>
      <c r="L92" s="9">
        <v>100000</v>
      </c>
      <c r="M92" s="8">
        <v>764006041</v>
      </c>
    </row>
    <row r="93" spans="1:13" s="65" customFormat="1" x14ac:dyDescent="0.25">
      <c r="A93" s="8"/>
      <c r="B93" s="8"/>
      <c r="C93" s="8"/>
      <c r="D93" s="8"/>
      <c r="E93" s="9"/>
      <c r="F93" s="9"/>
      <c r="G93" s="9"/>
      <c r="H93" s="8"/>
      <c r="I93" s="7"/>
      <c r="J93" s="20"/>
      <c r="K93" s="20"/>
      <c r="L93" s="9"/>
      <c r="M93" s="8"/>
    </row>
    <row r="94" spans="1:13" s="65" customFormat="1" ht="30" x14ac:dyDescent="0.25">
      <c r="A94" s="8"/>
      <c r="B94" s="8"/>
      <c r="C94" s="8"/>
      <c r="D94" s="8"/>
      <c r="E94" s="9"/>
      <c r="F94" s="9"/>
      <c r="G94" s="9"/>
      <c r="H94" s="8"/>
      <c r="I94" s="7">
        <v>46161</v>
      </c>
      <c r="J94" s="20" t="s">
        <v>609</v>
      </c>
      <c r="K94" s="20" t="s">
        <v>608</v>
      </c>
      <c r="L94" s="9">
        <v>307000</v>
      </c>
      <c r="M94" s="8">
        <v>772306796</v>
      </c>
    </row>
    <row r="95" spans="1:13" s="65" customFormat="1" x14ac:dyDescent="0.25">
      <c r="A95" s="8"/>
      <c r="B95" s="8"/>
      <c r="C95" s="8"/>
      <c r="D95" s="8"/>
      <c r="E95" s="9"/>
      <c r="F95" s="9"/>
      <c r="G95" s="9"/>
      <c r="H95" s="8"/>
      <c r="I95" s="7"/>
      <c r="J95" s="20"/>
      <c r="K95" s="20"/>
      <c r="L95" s="9"/>
      <c r="M95" s="8"/>
    </row>
    <row r="96" spans="1:13" s="65" customFormat="1" ht="30" x14ac:dyDescent="0.25">
      <c r="A96" s="8"/>
      <c r="B96" s="8"/>
      <c r="C96" s="8"/>
      <c r="D96" s="8"/>
      <c r="E96" s="9"/>
      <c r="F96" s="9"/>
      <c r="G96" s="9"/>
      <c r="H96" s="8"/>
      <c r="I96" s="7">
        <v>46161</v>
      </c>
      <c r="J96" s="20" t="s">
        <v>562</v>
      </c>
      <c r="K96" s="20" t="s">
        <v>613</v>
      </c>
      <c r="L96" s="9">
        <v>62000</v>
      </c>
      <c r="M96" s="8">
        <v>776312022</v>
      </c>
    </row>
    <row r="97" spans="1:13" x14ac:dyDescent="0.25">
      <c r="A97" s="8"/>
      <c r="B97" s="8"/>
      <c r="C97" s="8"/>
      <c r="D97" s="8"/>
      <c r="E97" s="9"/>
      <c r="F97" s="9"/>
      <c r="G97" s="9"/>
      <c r="H97" s="8"/>
      <c r="I97" s="7">
        <v>46162</v>
      </c>
      <c r="J97" s="20" t="s">
        <v>385</v>
      </c>
      <c r="K97" s="20" t="s">
        <v>612</v>
      </c>
      <c r="L97" s="9">
        <v>615000</v>
      </c>
      <c r="M97" s="8">
        <v>752297236</v>
      </c>
    </row>
    <row r="98" spans="1:13" x14ac:dyDescent="0.25">
      <c r="A98" s="8"/>
      <c r="B98" s="8"/>
      <c r="C98" s="8"/>
      <c r="D98" s="8"/>
      <c r="E98" s="9"/>
      <c r="F98" s="9"/>
      <c r="G98" s="9"/>
      <c r="H98" s="8"/>
      <c r="I98" s="7"/>
      <c r="J98" s="20"/>
      <c r="K98" s="20"/>
      <c r="L98" s="9"/>
      <c r="M98" s="8"/>
    </row>
    <row r="99" spans="1:13" x14ac:dyDescent="0.25">
      <c r="A99" s="8"/>
      <c r="B99" s="8"/>
      <c r="C99" s="8"/>
      <c r="D99" s="8"/>
      <c r="E99" s="9"/>
      <c r="F99" s="9"/>
      <c r="G99" s="9"/>
      <c r="H99" s="8"/>
      <c r="I99" s="7"/>
      <c r="J99" s="20"/>
      <c r="K99" s="8"/>
      <c r="L99" s="9"/>
      <c r="M99" s="8"/>
    </row>
    <row r="100" spans="1:13" x14ac:dyDescent="0.25">
      <c r="A100" s="3"/>
      <c r="B100" s="3" t="s">
        <v>14</v>
      </c>
      <c r="C100" s="3"/>
      <c r="D100" s="10">
        <f>SUM(D9:D46)</f>
        <v>0</v>
      </c>
      <c r="E100" s="10"/>
      <c r="F100" s="10">
        <f>SUM(F9:F46)</f>
        <v>22647000</v>
      </c>
      <c r="G100" s="10"/>
      <c r="H100" s="10"/>
      <c r="I100" s="10"/>
      <c r="J100" s="8"/>
      <c r="K100" s="10"/>
      <c r="L100" s="10">
        <f>SUM(L10:L99)</f>
        <v>18638400</v>
      </c>
      <c r="M100" s="3"/>
    </row>
    <row r="101" spans="1:13" x14ac:dyDescent="0.25">
      <c r="A101" s="6"/>
      <c r="B101" s="6"/>
      <c r="C101" s="6"/>
      <c r="D101" s="6"/>
      <c r="E101" s="12"/>
      <c r="F101" s="12"/>
      <c r="G101" s="12"/>
      <c r="H101" s="6"/>
      <c r="I101" s="6"/>
      <c r="J101" s="3" t="s">
        <v>14</v>
      </c>
      <c r="K101" s="6"/>
      <c r="L101" s="12"/>
      <c r="M101" s="6"/>
    </row>
    <row r="102" spans="1:13" x14ac:dyDescent="0.25">
      <c r="A102" s="6"/>
      <c r="B102" s="6"/>
      <c r="C102" s="6"/>
      <c r="D102" s="6"/>
      <c r="E102" s="11"/>
      <c r="F102" s="12" t="s">
        <v>13</v>
      </c>
      <c r="G102" s="12"/>
      <c r="H102" s="6"/>
      <c r="I102" s="6"/>
      <c r="J102" s="6"/>
      <c r="K102" s="6"/>
      <c r="L102" s="12"/>
      <c r="M102" s="6"/>
    </row>
    <row r="103" spans="1:13" x14ac:dyDescent="0.25">
      <c r="A103" s="6"/>
      <c r="B103" s="8" t="s">
        <v>15</v>
      </c>
      <c r="C103" s="8" t="s">
        <v>16</v>
      </c>
      <c r="D103" s="8"/>
      <c r="E103" s="13"/>
      <c r="F103" s="9">
        <f>F100</f>
        <v>22647000</v>
      </c>
      <c r="G103" s="12"/>
      <c r="H103" s="6"/>
      <c r="I103" s="6"/>
      <c r="J103" s="6"/>
      <c r="K103" s="6"/>
      <c r="L103" s="12"/>
      <c r="M103" s="6"/>
    </row>
    <row r="104" spans="1:13" ht="15.75" thickBot="1" x14ac:dyDescent="0.3">
      <c r="A104" s="6"/>
      <c r="B104" s="14"/>
      <c r="C104" s="14" t="s">
        <v>17</v>
      </c>
      <c r="D104" s="14"/>
      <c r="E104" s="15"/>
      <c r="F104" s="15">
        <f>L100</f>
        <v>18638400</v>
      </c>
      <c r="G104" s="12"/>
      <c r="H104" s="6"/>
      <c r="I104" s="6"/>
      <c r="J104" s="6"/>
      <c r="K104" s="6"/>
      <c r="L104" s="12"/>
      <c r="M104" s="6"/>
    </row>
    <row r="105" spans="1:13" ht="15.75" thickBot="1" x14ac:dyDescent="0.3">
      <c r="A105" s="6"/>
      <c r="B105" s="16" t="s">
        <v>18</v>
      </c>
      <c r="C105" s="17" t="s">
        <v>19</v>
      </c>
      <c r="D105" s="17"/>
      <c r="E105" s="18"/>
      <c r="F105" s="19">
        <f>F103-F104</f>
        <v>4008600</v>
      </c>
      <c r="G105" s="12"/>
      <c r="H105" s="6"/>
      <c r="I105" s="6"/>
      <c r="J105" s="6"/>
      <c r="K105" s="6"/>
      <c r="L105" s="12"/>
      <c r="M105" s="6"/>
    </row>
    <row r="106" spans="1:13" x14ac:dyDescent="0.25">
      <c r="G106" s="50"/>
      <c r="H106" s="51"/>
      <c r="I106" s="51"/>
      <c r="J106" s="52" t="s">
        <v>589</v>
      </c>
      <c r="K106" s="45">
        <v>15600000</v>
      </c>
      <c r="L106" t="s">
        <v>596</v>
      </c>
    </row>
    <row r="107" spans="1:13" x14ac:dyDescent="0.25">
      <c r="G107" s="164" t="s">
        <v>554</v>
      </c>
      <c r="H107" s="165"/>
      <c r="I107" s="165"/>
      <c r="J107" s="55">
        <v>1500000</v>
      </c>
      <c r="K107" s="45">
        <v>20560000</v>
      </c>
      <c r="L107" t="s">
        <v>595</v>
      </c>
    </row>
    <row r="108" spans="1:13" x14ac:dyDescent="0.25">
      <c r="G108" s="164" t="s">
        <v>581</v>
      </c>
      <c r="H108" s="165"/>
      <c r="I108" s="165"/>
      <c r="J108" s="55">
        <v>1208200</v>
      </c>
      <c r="K108" s="45">
        <v>6557000</v>
      </c>
      <c r="L108" t="s">
        <v>594</v>
      </c>
    </row>
    <row r="109" spans="1:13" x14ac:dyDescent="0.25">
      <c r="G109" s="162" t="s">
        <v>591</v>
      </c>
      <c r="H109" s="163"/>
      <c r="I109" s="163"/>
      <c r="J109" s="56">
        <v>1733700</v>
      </c>
    </row>
    <row r="110" spans="1:13" x14ac:dyDescent="0.25">
      <c r="G110" s="164" t="s">
        <v>582</v>
      </c>
      <c r="H110" s="165"/>
      <c r="I110" s="165"/>
      <c r="J110" s="55">
        <v>300000</v>
      </c>
    </row>
    <row r="111" spans="1:13" x14ac:dyDescent="0.25">
      <c r="G111" s="166" t="s">
        <v>593</v>
      </c>
      <c r="H111" s="166"/>
      <c r="I111" s="166"/>
      <c r="J111" s="55">
        <v>710000</v>
      </c>
    </row>
    <row r="112" spans="1:13" s="65" customFormat="1" x14ac:dyDescent="0.25">
      <c r="G112" s="63" t="s">
        <v>610</v>
      </c>
      <c r="H112" s="64"/>
      <c r="I112" s="64"/>
      <c r="J112" s="55">
        <v>550000</v>
      </c>
    </row>
    <row r="113" spans="7:14" s="65" customFormat="1" x14ac:dyDescent="0.25">
      <c r="G113" s="63" t="s">
        <v>611</v>
      </c>
      <c r="H113" s="64"/>
      <c r="I113" s="64"/>
      <c r="J113" s="55">
        <v>650000</v>
      </c>
    </row>
    <row r="114" spans="7:14" x14ac:dyDescent="0.25">
      <c r="G114" s="53"/>
      <c r="H114" s="54"/>
      <c r="I114" s="54"/>
      <c r="J114" s="69">
        <f>SUM(J107:J113)</f>
        <v>6651900</v>
      </c>
      <c r="N114" s="45">
        <v>6651900</v>
      </c>
    </row>
    <row r="115" spans="7:14" ht="15.75" thickBot="1" x14ac:dyDescent="0.3">
      <c r="G115" s="57"/>
      <c r="H115" s="58"/>
      <c r="I115" s="59" t="s">
        <v>592</v>
      </c>
      <c r="J115" s="60"/>
      <c r="N115" s="45">
        <v>180000</v>
      </c>
    </row>
    <row r="116" spans="7:14" x14ac:dyDescent="0.25">
      <c r="N116" s="70">
        <f>SUM(N114:N115)</f>
        <v>6831900</v>
      </c>
    </row>
    <row r="117" spans="7:14" x14ac:dyDescent="0.25">
      <c r="G117" s="162" t="s">
        <v>618</v>
      </c>
      <c r="H117" s="163"/>
      <c r="I117" s="163"/>
      <c r="J117" s="55">
        <v>34000000</v>
      </c>
      <c r="K117" t="s">
        <v>619</v>
      </c>
      <c r="M117" s="70"/>
    </row>
  </sheetData>
  <mergeCells count="10">
    <mergeCell ref="A5:L5"/>
    <mergeCell ref="A6:L6"/>
    <mergeCell ref="A7:F7"/>
    <mergeCell ref="I7:L7"/>
    <mergeCell ref="G107:I107"/>
    <mergeCell ref="G117:I117"/>
    <mergeCell ref="G108:I108"/>
    <mergeCell ref="G109:I109"/>
    <mergeCell ref="G110:I110"/>
    <mergeCell ref="G111:I111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03"/>
  <sheetViews>
    <sheetView topLeftCell="C1" workbookViewId="0">
      <selection activeCell="I19" sqref="I19:M19"/>
    </sheetView>
  </sheetViews>
  <sheetFormatPr defaultRowHeight="15" x14ac:dyDescent="0.25"/>
  <cols>
    <col min="1" max="1" width="10.140625" bestFit="1" customWidth="1"/>
    <col min="2" max="2" width="12.28515625" customWidth="1"/>
    <col min="3" max="3" width="11.42578125" customWidth="1"/>
    <col min="4" max="4" width="10.5703125" bestFit="1" customWidth="1"/>
    <col min="6" max="6" width="11.28515625" bestFit="1" customWidth="1"/>
    <col min="8" max="8" width="11.28515625" customWidth="1"/>
    <col min="9" max="9" width="14" customWidth="1"/>
    <col min="10" max="10" width="16.5703125" customWidth="1"/>
    <col min="11" max="11" width="21.28515625" customWidth="1"/>
    <col min="12" max="12" width="11.5703125" bestFit="1" customWidth="1"/>
    <col min="13" max="13" width="12.140625" customWidth="1"/>
  </cols>
  <sheetData>
    <row r="3" spans="1:13" ht="15.75" x14ac:dyDescent="0.25">
      <c r="A3" s="160" t="s">
        <v>20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2"/>
    </row>
    <row r="4" spans="1:13" ht="15.75" x14ac:dyDescent="0.25">
      <c r="A4" s="160" t="s">
        <v>0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2"/>
    </row>
    <row r="5" spans="1:13" ht="15.75" x14ac:dyDescent="0.25">
      <c r="A5" s="161" t="s">
        <v>1</v>
      </c>
      <c r="B5" s="161"/>
      <c r="C5" s="161"/>
      <c r="D5" s="161"/>
      <c r="E5" s="161"/>
      <c r="F5" s="161"/>
      <c r="G5" s="66"/>
      <c r="H5" s="66"/>
      <c r="I5" s="161" t="s">
        <v>2</v>
      </c>
      <c r="J5" s="161"/>
      <c r="K5" s="161"/>
      <c r="L5" s="161"/>
      <c r="M5" s="2"/>
    </row>
    <row r="6" spans="1:13" ht="30" x14ac:dyDescent="0.25">
      <c r="A6" s="3" t="s">
        <v>3</v>
      </c>
      <c r="B6" s="3" t="s">
        <v>4</v>
      </c>
      <c r="C6" s="3" t="s">
        <v>5</v>
      </c>
      <c r="D6" s="4" t="s">
        <v>6</v>
      </c>
      <c r="E6" s="5" t="s">
        <v>7</v>
      </c>
      <c r="F6" s="4" t="s">
        <v>8</v>
      </c>
      <c r="G6" s="5" t="s">
        <v>9</v>
      </c>
      <c r="H6" s="3"/>
      <c r="I6" s="3" t="s">
        <v>3</v>
      </c>
      <c r="J6" s="3" t="s">
        <v>10</v>
      </c>
      <c r="K6" s="3" t="s">
        <v>11</v>
      </c>
      <c r="L6" s="4" t="s">
        <v>8</v>
      </c>
      <c r="M6" s="5" t="s">
        <v>9</v>
      </c>
    </row>
    <row r="7" spans="1:13" x14ac:dyDescent="0.25">
      <c r="A7" s="7"/>
      <c r="B7" s="20"/>
      <c r="C7" s="8"/>
      <c r="D7" s="8"/>
      <c r="E7" s="9"/>
      <c r="F7" s="9"/>
      <c r="G7" s="9"/>
      <c r="H7" s="8"/>
      <c r="I7" s="7"/>
      <c r="J7" s="20"/>
      <c r="K7" s="20"/>
      <c r="L7" s="45"/>
      <c r="M7" s="8"/>
    </row>
    <row r="8" spans="1:13" ht="43.5" customHeight="1" x14ac:dyDescent="0.25">
      <c r="A8" s="7">
        <v>46162</v>
      </c>
      <c r="B8" s="20" t="s">
        <v>617</v>
      </c>
      <c r="C8" s="20" t="s">
        <v>123</v>
      </c>
      <c r="D8" s="8"/>
      <c r="E8" s="9"/>
      <c r="F8" s="9">
        <v>38000000</v>
      </c>
      <c r="G8" s="38"/>
      <c r="H8" s="14"/>
      <c r="I8" s="7">
        <v>46162</v>
      </c>
      <c r="J8" s="20" t="s">
        <v>615</v>
      </c>
      <c r="K8" s="20" t="s">
        <v>616</v>
      </c>
      <c r="L8" s="45">
        <v>34000000</v>
      </c>
      <c r="M8" s="20">
        <v>3100112095</v>
      </c>
    </row>
    <row r="9" spans="1:13" x14ac:dyDescent="0.25">
      <c r="A9" s="7"/>
      <c r="B9" s="8"/>
      <c r="C9" s="20"/>
      <c r="D9" s="8"/>
      <c r="E9" s="9"/>
      <c r="F9" s="9"/>
      <c r="G9" s="38"/>
      <c r="H9" s="14"/>
      <c r="I9" s="7"/>
      <c r="J9" s="20"/>
      <c r="K9" s="20"/>
      <c r="L9" s="9"/>
      <c r="M9" s="20"/>
    </row>
    <row r="10" spans="1:13" ht="30" x14ac:dyDescent="0.25">
      <c r="A10" s="7">
        <v>46162</v>
      </c>
      <c r="B10" s="35" t="s">
        <v>620</v>
      </c>
      <c r="C10" s="36" t="s">
        <v>219</v>
      </c>
      <c r="D10" s="8"/>
      <c r="E10" s="9"/>
      <c r="F10" s="9">
        <v>4008600</v>
      </c>
      <c r="G10" s="36"/>
      <c r="H10" s="8"/>
      <c r="I10" s="7">
        <v>46163</v>
      </c>
      <c r="J10" s="20" t="s">
        <v>242</v>
      </c>
      <c r="K10" s="20" t="s">
        <v>621</v>
      </c>
      <c r="L10" s="9">
        <v>400000</v>
      </c>
      <c r="M10" s="8">
        <v>700742461</v>
      </c>
    </row>
    <row r="11" spans="1:13" x14ac:dyDescent="0.25">
      <c r="A11" s="7"/>
      <c r="B11" s="20"/>
      <c r="C11" s="8"/>
      <c r="D11" s="8"/>
      <c r="E11" s="9"/>
      <c r="F11" s="9"/>
      <c r="G11" s="9"/>
      <c r="H11" s="8"/>
      <c r="I11" s="7"/>
      <c r="J11" s="35"/>
      <c r="K11" s="40"/>
      <c r="L11" s="9"/>
      <c r="M11" s="8"/>
    </row>
    <row r="12" spans="1:13" ht="28.5" customHeight="1" x14ac:dyDescent="0.25">
      <c r="A12" s="7">
        <v>46164</v>
      </c>
      <c r="B12" s="20" t="s">
        <v>624</v>
      </c>
      <c r="C12" s="20" t="s">
        <v>564</v>
      </c>
      <c r="D12" s="8"/>
      <c r="E12" s="9"/>
      <c r="F12" s="9">
        <v>50000</v>
      </c>
      <c r="G12" s="9"/>
      <c r="H12" s="8"/>
      <c r="I12" s="7">
        <v>46163</v>
      </c>
      <c r="J12" s="35" t="s">
        <v>622</v>
      </c>
      <c r="K12" s="32" t="s">
        <v>623</v>
      </c>
      <c r="L12" s="29">
        <v>7550000</v>
      </c>
      <c r="M12" s="8">
        <v>772590908</v>
      </c>
    </row>
    <row r="13" spans="1:13" ht="13.5" customHeight="1" x14ac:dyDescent="0.25">
      <c r="A13" s="7"/>
      <c r="B13" s="8"/>
      <c r="C13" s="8"/>
      <c r="D13" s="8"/>
      <c r="E13" s="9"/>
      <c r="F13" s="9"/>
      <c r="G13" s="9"/>
      <c r="H13" s="8"/>
      <c r="I13" s="7">
        <v>46163</v>
      </c>
      <c r="J13" s="8"/>
      <c r="K13" s="20" t="s">
        <v>425</v>
      </c>
      <c r="L13" s="9">
        <v>5000</v>
      </c>
      <c r="M13" s="8"/>
    </row>
    <row r="14" spans="1:13" ht="27" customHeight="1" x14ac:dyDescent="0.25">
      <c r="A14" s="7">
        <v>46167</v>
      </c>
      <c r="B14" s="20" t="s">
        <v>627</v>
      </c>
      <c r="C14" s="20" t="s">
        <v>564</v>
      </c>
      <c r="D14" s="8"/>
      <c r="E14" s="9"/>
      <c r="F14" s="9">
        <v>1860000</v>
      </c>
      <c r="G14" s="9"/>
      <c r="H14" s="8"/>
      <c r="I14" s="7"/>
      <c r="J14" s="20"/>
      <c r="K14" s="20"/>
      <c r="L14" s="9"/>
      <c r="M14" s="20"/>
    </row>
    <row r="15" spans="1:13" x14ac:dyDescent="0.25">
      <c r="A15" s="8"/>
      <c r="B15" s="8"/>
      <c r="C15" s="8"/>
      <c r="D15" s="8"/>
      <c r="E15" s="9"/>
      <c r="F15" s="9"/>
      <c r="G15" s="9"/>
      <c r="H15" s="8"/>
      <c r="I15" s="7">
        <v>46164</v>
      </c>
      <c r="J15" s="8" t="s">
        <v>562</v>
      </c>
      <c r="K15" s="20" t="s">
        <v>628</v>
      </c>
      <c r="L15" s="9">
        <v>51500</v>
      </c>
      <c r="M15" s="8">
        <v>776312022</v>
      </c>
    </row>
    <row r="16" spans="1:13" ht="31.5" customHeight="1" x14ac:dyDescent="0.25">
      <c r="A16" s="7">
        <v>46167</v>
      </c>
      <c r="B16" s="8" t="s">
        <v>674</v>
      </c>
      <c r="C16" s="20" t="s">
        <v>564</v>
      </c>
      <c r="D16" s="8"/>
      <c r="E16" s="9"/>
      <c r="F16" s="9">
        <v>379400</v>
      </c>
      <c r="G16" s="9"/>
      <c r="H16" s="8"/>
      <c r="I16" s="7"/>
      <c r="J16" s="20"/>
      <c r="K16" s="20"/>
      <c r="L16" s="9"/>
      <c r="M16" s="20"/>
    </row>
    <row r="17" spans="1:13" ht="29.25" customHeight="1" x14ac:dyDescent="0.25">
      <c r="A17" s="7">
        <v>46168</v>
      </c>
      <c r="B17" s="20" t="s">
        <v>627</v>
      </c>
      <c r="C17" s="20" t="s">
        <v>564</v>
      </c>
      <c r="D17" s="8"/>
      <c r="E17" s="9"/>
      <c r="F17" s="9">
        <v>450000</v>
      </c>
      <c r="G17" s="9"/>
      <c r="H17" s="8"/>
      <c r="I17" s="7">
        <v>46167</v>
      </c>
      <c r="J17" s="8" t="s">
        <v>626</v>
      </c>
      <c r="K17" s="20" t="s">
        <v>625</v>
      </c>
      <c r="L17" s="9">
        <v>1086000</v>
      </c>
      <c r="M17" s="8" t="s">
        <v>13</v>
      </c>
    </row>
    <row r="18" spans="1:13" x14ac:dyDescent="0.25">
      <c r="A18" s="8"/>
      <c r="B18" s="8"/>
      <c r="C18" s="8"/>
      <c r="D18" s="8"/>
      <c r="E18" s="9"/>
      <c r="F18" s="9"/>
      <c r="G18" s="9"/>
      <c r="H18" s="8"/>
      <c r="I18" s="7"/>
      <c r="J18" s="20"/>
      <c r="K18" s="20"/>
      <c r="L18" s="9"/>
      <c r="M18" s="8"/>
    </row>
    <row r="19" spans="1:13" ht="32.25" customHeight="1" x14ac:dyDescent="0.25">
      <c r="A19" s="7">
        <v>46169</v>
      </c>
      <c r="B19" s="20" t="s">
        <v>627</v>
      </c>
      <c r="C19" s="20" t="s">
        <v>564</v>
      </c>
      <c r="D19" s="8"/>
      <c r="E19" s="9"/>
      <c r="F19" s="9">
        <v>3445000</v>
      </c>
      <c r="G19" s="9"/>
      <c r="H19" s="8"/>
      <c r="I19" s="7">
        <v>46167</v>
      </c>
      <c r="J19" s="20" t="s">
        <v>562</v>
      </c>
      <c r="K19" s="20" t="s">
        <v>628</v>
      </c>
      <c r="L19" s="9">
        <v>100000</v>
      </c>
      <c r="M19" s="8">
        <v>776312022</v>
      </c>
    </row>
    <row r="20" spans="1:13" x14ac:dyDescent="0.25">
      <c r="A20" s="8"/>
      <c r="B20" s="8"/>
      <c r="C20" s="8"/>
      <c r="D20" s="8"/>
      <c r="E20" s="9"/>
      <c r="F20" s="9"/>
      <c r="G20" s="9"/>
      <c r="H20" s="8"/>
      <c r="I20" s="7"/>
      <c r="J20" s="20"/>
      <c r="K20" s="20"/>
      <c r="L20" s="9"/>
      <c r="M20" s="8"/>
    </row>
    <row r="21" spans="1:13" ht="30" customHeight="1" x14ac:dyDescent="0.25">
      <c r="A21" s="7">
        <v>46170</v>
      </c>
      <c r="B21" s="20" t="s">
        <v>639</v>
      </c>
      <c r="C21" s="20" t="s">
        <v>564</v>
      </c>
      <c r="D21" s="8"/>
      <c r="E21" s="9"/>
      <c r="F21" s="9">
        <v>4020000</v>
      </c>
      <c r="G21" s="9"/>
      <c r="H21" s="8"/>
      <c r="I21" s="7">
        <v>46168</v>
      </c>
      <c r="J21" s="8" t="s">
        <v>630</v>
      </c>
      <c r="K21" s="20" t="s">
        <v>631</v>
      </c>
      <c r="L21" s="9">
        <v>745000</v>
      </c>
      <c r="M21" s="8">
        <v>702750820</v>
      </c>
    </row>
    <row r="22" spans="1:13" x14ac:dyDescent="0.25">
      <c r="A22" s="8"/>
      <c r="B22" s="8"/>
      <c r="C22" s="8"/>
      <c r="D22" s="8"/>
      <c r="E22" s="9"/>
      <c r="F22" s="9"/>
      <c r="G22" s="9"/>
      <c r="H22" s="8"/>
      <c r="I22" s="7"/>
      <c r="J22" s="20"/>
      <c r="K22" s="20"/>
      <c r="L22" s="9"/>
      <c r="M22" s="8"/>
    </row>
    <row r="23" spans="1:13" ht="32.25" customHeight="1" x14ac:dyDescent="0.25">
      <c r="A23" s="7">
        <v>46171</v>
      </c>
      <c r="B23" s="20" t="s">
        <v>639</v>
      </c>
      <c r="C23" s="20" t="s">
        <v>564</v>
      </c>
      <c r="D23" s="8"/>
      <c r="E23" s="9"/>
      <c r="F23" s="9">
        <v>550000</v>
      </c>
      <c r="G23" s="9"/>
      <c r="H23" s="8"/>
      <c r="I23" s="7">
        <v>46168</v>
      </c>
      <c r="J23" s="8" t="s">
        <v>633</v>
      </c>
      <c r="K23" s="20" t="s">
        <v>632</v>
      </c>
      <c r="L23" s="9">
        <v>200000</v>
      </c>
      <c r="M23" s="8">
        <v>751310181</v>
      </c>
    </row>
    <row r="24" spans="1:13" x14ac:dyDescent="0.25">
      <c r="A24" s="8"/>
      <c r="B24" s="8"/>
      <c r="C24" s="8"/>
      <c r="D24" s="8"/>
      <c r="E24" s="9"/>
      <c r="F24" s="9"/>
      <c r="G24" s="9"/>
      <c r="H24" s="8"/>
      <c r="I24" s="41"/>
      <c r="J24" s="20"/>
      <c r="K24" s="20"/>
      <c r="L24" s="9"/>
      <c r="M24" s="8"/>
    </row>
    <row r="25" spans="1:13" ht="45" x14ac:dyDescent="0.25">
      <c r="A25" s="7">
        <v>46173</v>
      </c>
      <c r="B25" s="8" t="s">
        <v>601</v>
      </c>
      <c r="C25" s="20" t="s">
        <v>664</v>
      </c>
      <c r="D25" s="8"/>
      <c r="E25" s="9"/>
      <c r="F25" s="9">
        <v>4123700</v>
      </c>
      <c r="G25" s="9"/>
      <c r="H25" s="8"/>
      <c r="I25" s="7">
        <v>46168</v>
      </c>
      <c r="J25" s="8" t="s">
        <v>635</v>
      </c>
      <c r="K25" s="20" t="s">
        <v>634</v>
      </c>
      <c r="L25" s="9">
        <v>210000</v>
      </c>
      <c r="M25" s="8">
        <v>706850914</v>
      </c>
    </row>
    <row r="26" spans="1:13" x14ac:dyDescent="0.25">
      <c r="A26" s="8"/>
      <c r="B26" s="8"/>
      <c r="C26" s="8"/>
      <c r="D26" s="8"/>
      <c r="E26" s="9"/>
      <c r="F26" s="9"/>
      <c r="G26" s="9"/>
      <c r="H26" s="8"/>
      <c r="I26" s="7"/>
      <c r="J26" s="8"/>
      <c r="K26" s="20"/>
      <c r="L26" s="9"/>
      <c r="M26" s="8"/>
    </row>
    <row r="27" spans="1:13" ht="33.75" customHeight="1" x14ac:dyDescent="0.25">
      <c r="A27" s="7">
        <v>46173</v>
      </c>
      <c r="B27" s="20" t="s">
        <v>639</v>
      </c>
      <c r="C27" s="20" t="s">
        <v>602</v>
      </c>
      <c r="D27" s="8"/>
      <c r="E27" s="9"/>
      <c r="F27" s="9">
        <v>2157000</v>
      </c>
      <c r="G27" s="9"/>
      <c r="H27" s="8"/>
      <c r="I27" s="7">
        <v>46169</v>
      </c>
      <c r="J27" s="20" t="s">
        <v>637</v>
      </c>
      <c r="K27" s="20" t="s">
        <v>636</v>
      </c>
      <c r="L27" s="9">
        <v>293000</v>
      </c>
      <c r="M27" s="8">
        <v>754834591</v>
      </c>
    </row>
    <row r="28" spans="1:13" x14ac:dyDescent="0.25">
      <c r="A28" s="8"/>
      <c r="B28" s="8"/>
      <c r="C28" s="8"/>
      <c r="D28" s="8"/>
      <c r="E28" s="9"/>
      <c r="F28" s="9"/>
      <c r="G28" s="9"/>
      <c r="H28" s="8"/>
      <c r="I28" s="7"/>
      <c r="J28" s="8"/>
      <c r="K28" s="20"/>
      <c r="L28" s="9"/>
      <c r="M28" s="8"/>
    </row>
    <row r="29" spans="1:13" ht="30.75" customHeight="1" x14ac:dyDescent="0.25">
      <c r="A29" s="36"/>
      <c r="B29" s="36"/>
      <c r="C29" s="36"/>
      <c r="D29" s="36"/>
      <c r="E29" s="36"/>
      <c r="F29" s="36"/>
      <c r="G29" s="9"/>
      <c r="H29" s="8"/>
      <c r="I29" s="7">
        <v>46170</v>
      </c>
      <c r="J29" s="8" t="s">
        <v>232</v>
      </c>
      <c r="K29" s="20" t="s">
        <v>638</v>
      </c>
      <c r="L29" s="9">
        <v>240000</v>
      </c>
      <c r="M29" s="8">
        <v>779915273</v>
      </c>
    </row>
    <row r="30" spans="1:13" x14ac:dyDescent="0.25">
      <c r="A30" s="8"/>
      <c r="B30" s="8"/>
      <c r="C30" s="8"/>
      <c r="D30" s="8"/>
      <c r="E30" s="9"/>
      <c r="F30" s="9"/>
      <c r="G30" s="9"/>
      <c r="H30" s="8"/>
      <c r="I30" s="7"/>
      <c r="J30" s="20"/>
      <c r="K30" s="20"/>
      <c r="L30" s="9"/>
      <c r="M30" s="20"/>
    </row>
    <row r="31" spans="1:13" x14ac:dyDescent="0.25">
      <c r="A31" s="7"/>
      <c r="B31" s="8"/>
      <c r="C31" s="20"/>
      <c r="D31" s="8"/>
      <c r="E31" s="9"/>
      <c r="F31" s="9"/>
      <c r="G31" s="9"/>
      <c r="H31" s="8"/>
      <c r="I31" s="7">
        <v>46171</v>
      </c>
      <c r="J31" s="8" t="s">
        <v>640</v>
      </c>
      <c r="K31" s="20" t="s">
        <v>490</v>
      </c>
      <c r="L31" s="9">
        <v>1200000</v>
      </c>
      <c r="M31" s="20">
        <v>704509775</v>
      </c>
    </row>
    <row r="32" spans="1:13" x14ac:dyDescent="0.25">
      <c r="A32" s="8"/>
      <c r="B32" s="8"/>
      <c r="C32" s="8"/>
      <c r="D32" s="8"/>
      <c r="E32" s="9"/>
      <c r="F32" s="9"/>
      <c r="G32" s="9"/>
      <c r="H32" s="8"/>
      <c r="I32" s="7"/>
      <c r="J32" s="8"/>
      <c r="K32" s="20"/>
      <c r="L32" s="9"/>
      <c r="M32" s="8"/>
    </row>
    <row r="33" spans="1:16" ht="45" x14ac:dyDescent="0.25">
      <c r="A33" s="8"/>
      <c r="B33" s="8"/>
      <c r="C33" s="8"/>
      <c r="D33" s="8"/>
      <c r="E33" s="9"/>
      <c r="F33" s="9"/>
      <c r="G33" s="9"/>
      <c r="H33" s="8"/>
      <c r="I33" s="7">
        <v>46171</v>
      </c>
      <c r="J33" s="20" t="s">
        <v>642</v>
      </c>
      <c r="K33" s="20" t="s">
        <v>667</v>
      </c>
      <c r="L33" s="9">
        <v>3000000</v>
      </c>
      <c r="M33" s="8">
        <v>756412096</v>
      </c>
      <c r="N33" s="72" t="s">
        <v>668</v>
      </c>
      <c r="O33" s="72"/>
      <c r="P33" s="72"/>
    </row>
    <row r="34" spans="1:16" x14ac:dyDescent="0.25">
      <c r="A34" s="8"/>
      <c r="B34" s="8"/>
      <c r="C34" s="8"/>
      <c r="D34" s="8"/>
      <c r="E34" s="9"/>
      <c r="F34" s="9"/>
      <c r="G34" s="9"/>
      <c r="H34" s="8"/>
      <c r="I34" s="7">
        <v>46171</v>
      </c>
      <c r="J34" s="8" t="s">
        <v>643</v>
      </c>
      <c r="K34" s="20" t="s">
        <v>641</v>
      </c>
      <c r="L34" s="9">
        <v>300000</v>
      </c>
      <c r="M34" s="8">
        <v>756412096</v>
      </c>
      <c r="N34" t="s">
        <v>201</v>
      </c>
    </row>
    <row r="35" spans="1:16" s="71" customFormat="1" x14ac:dyDescent="0.25">
      <c r="A35" s="8"/>
      <c r="B35" s="8"/>
      <c r="C35" s="8"/>
      <c r="D35" s="8"/>
      <c r="E35" s="9"/>
      <c r="F35" s="9"/>
      <c r="G35" s="9"/>
      <c r="H35" s="8"/>
      <c r="I35" s="7"/>
      <c r="J35" s="8"/>
      <c r="K35" s="20"/>
      <c r="L35" s="9"/>
      <c r="M35" s="8"/>
    </row>
    <row r="36" spans="1:16" ht="45" x14ac:dyDescent="0.25">
      <c r="A36" s="8"/>
      <c r="B36" s="8"/>
      <c r="C36" s="8"/>
      <c r="D36" s="8"/>
      <c r="E36" s="9"/>
      <c r="F36" s="9"/>
      <c r="G36" s="9"/>
      <c r="H36" s="8"/>
      <c r="I36" s="7">
        <v>46171</v>
      </c>
      <c r="J36" s="20" t="s">
        <v>665</v>
      </c>
      <c r="K36" s="20" t="s">
        <v>666</v>
      </c>
      <c r="L36" s="9">
        <v>150000</v>
      </c>
      <c r="M36" s="8" t="s">
        <v>29</v>
      </c>
    </row>
    <row r="37" spans="1:16" ht="30" customHeight="1" x14ac:dyDescent="0.25">
      <c r="A37" s="8"/>
      <c r="B37" s="8"/>
      <c r="C37" s="8"/>
      <c r="D37" s="8"/>
      <c r="E37" s="9"/>
      <c r="F37" s="9"/>
      <c r="G37" s="9"/>
      <c r="H37" s="8"/>
      <c r="I37" s="7">
        <v>46171</v>
      </c>
      <c r="J37" s="20" t="s">
        <v>652</v>
      </c>
      <c r="K37" s="20" t="s">
        <v>653</v>
      </c>
      <c r="L37" s="9">
        <v>710000</v>
      </c>
      <c r="M37" s="20" t="s">
        <v>654</v>
      </c>
    </row>
    <row r="38" spans="1:16" x14ac:dyDescent="0.25">
      <c r="A38" s="8"/>
      <c r="B38" s="8"/>
      <c r="C38" s="8"/>
      <c r="D38" s="8"/>
      <c r="E38" s="9"/>
      <c r="F38" s="9"/>
      <c r="G38" s="9"/>
      <c r="H38" s="8"/>
      <c r="I38" s="7"/>
      <c r="J38" s="8"/>
      <c r="K38" s="20"/>
      <c r="L38" s="9"/>
      <c r="M38" s="8"/>
    </row>
    <row r="39" spans="1:16" ht="30" x14ac:dyDescent="0.25">
      <c r="A39" s="8"/>
      <c r="B39" s="8"/>
      <c r="C39" s="8"/>
      <c r="D39" s="8"/>
      <c r="E39" s="9"/>
      <c r="F39" s="9"/>
      <c r="G39" s="9"/>
      <c r="H39" s="8"/>
      <c r="I39" s="7"/>
      <c r="J39" s="20" t="s">
        <v>206</v>
      </c>
      <c r="K39" s="20" t="s">
        <v>657</v>
      </c>
      <c r="L39" s="56">
        <v>1733700</v>
      </c>
      <c r="M39" s="20" t="s">
        <v>654</v>
      </c>
    </row>
    <row r="40" spans="1:16" x14ac:dyDescent="0.25">
      <c r="A40" s="8"/>
      <c r="B40" s="8"/>
      <c r="C40" s="8"/>
      <c r="D40" s="8"/>
      <c r="E40" s="9"/>
      <c r="F40" s="9"/>
      <c r="G40" s="9"/>
      <c r="H40" s="8"/>
      <c r="I40" s="7"/>
      <c r="J40" s="20"/>
      <c r="K40" s="20"/>
      <c r="L40" s="9"/>
      <c r="M40" s="8"/>
    </row>
    <row r="41" spans="1:16" ht="30" x14ac:dyDescent="0.25">
      <c r="A41" s="8"/>
      <c r="B41" s="8"/>
      <c r="C41" s="8"/>
      <c r="D41" s="8"/>
      <c r="E41" s="9"/>
      <c r="F41" s="9"/>
      <c r="G41" s="9"/>
      <c r="H41" s="8"/>
      <c r="I41" s="7"/>
      <c r="J41" s="20" t="s">
        <v>660</v>
      </c>
      <c r="K41" s="20" t="s">
        <v>659</v>
      </c>
      <c r="L41" s="9">
        <v>300000</v>
      </c>
      <c r="M41" s="20" t="s">
        <v>658</v>
      </c>
      <c r="N41" s="76"/>
    </row>
    <row r="42" spans="1:16" x14ac:dyDescent="0.25">
      <c r="A42" s="8"/>
      <c r="B42" s="8"/>
      <c r="C42" s="8"/>
      <c r="D42" s="8"/>
      <c r="E42" s="9"/>
      <c r="F42" s="9"/>
      <c r="G42" s="9"/>
      <c r="H42" s="8"/>
      <c r="I42" s="7"/>
      <c r="J42" s="20"/>
      <c r="K42" s="20"/>
      <c r="L42" s="9"/>
      <c r="M42" s="8"/>
    </row>
    <row r="43" spans="1:16" ht="30" x14ac:dyDescent="0.25">
      <c r="A43" s="8"/>
      <c r="B43" s="8"/>
      <c r="C43" s="8"/>
      <c r="D43" s="8"/>
      <c r="E43" s="9"/>
      <c r="F43" s="9"/>
      <c r="G43" s="9"/>
      <c r="H43" s="8"/>
      <c r="I43" s="7"/>
      <c r="J43" s="20" t="s">
        <v>660</v>
      </c>
      <c r="K43" s="20" t="s">
        <v>661</v>
      </c>
      <c r="L43" s="9">
        <v>550000</v>
      </c>
      <c r="M43" s="8" t="s">
        <v>201</v>
      </c>
    </row>
    <row r="44" spans="1:16" ht="45" x14ac:dyDescent="0.25">
      <c r="A44" s="8"/>
      <c r="B44" s="8"/>
      <c r="C44" s="8"/>
      <c r="D44" s="8"/>
      <c r="E44" s="9"/>
      <c r="F44" s="9"/>
      <c r="G44" s="9"/>
      <c r="H44" s="8"/>
      <c r="I44" s="7"/>
      <c r="J44" s="20" t="s">
        <v>201</v>
      </c>
      <c r="K44" s="20" t="s">
        <v>662</v>
      </c>
      <c r="L44" s="9">
        <v>650000</v>
      </c>
      <c r="M44" s="8" t="s">
        <v>201</v>
      </c>
    </row>
    <row r="45" spans="1:16" ht="30" x14ac:dyDescent="0.25">
      <c r="A45" s="8"/>
      <c r="B45" s="8"/>
      <c r="C45" s="8"/>
      <c r="D45" s="8"/>
      <c r="E45" s="9"/>
      <c r="F45" s="9"/>
      <c r="G45" s="9"/>
      <c r="H45" s="8"/>
      <c r="I45" s="7"/>
      <c r="J45" s="20" t="s">
        <v>201</v>
      </c>
      <c r="K45" s="20" t="s">
        <v>663</v>
      </c>
      <c r="L45" s="9">
        <v>180000</v>
      </c>
      <c r="M45" s="20" t="s">
        <v>654</v>
      </c>
    </row>
    <row r="46" spans="1:16" x14ac:dyDescent="0.25">
      <c r="A46" s="8"/>
      <c r="B46" s="8"/>
      <c r="C46" s="8"/>
      <c r="D46" s="8"/>
      <c r="E46" s="9"/>
      <c r="F46" s="9"/>
      <c r="G46" s="9"/>
      <c r="H46" s="8"/>
      <c r="I46" s="7"/>
      <c r="J46" s="20"/>
      <c r="K46" s="20"/>
      <c r="L46" s="9"/>
      <c r="M46" s="8"/>
    </row>
    <row r="47" spans="1:16" ht="24" customHeight="1" x14ac:dyDescent="0.25">
      <c r="A47" s="8"/>
      <c r="B47" s="8"/>
      <c r="C47" s="8"/>
      <c r="D47" s="8"/>
      <c r="E47" s="9"/>
      <c r="F47" s="9"/>
      <c r="G47" s="9"/>
      <c r="H47" s="8"/>
      <c r="I47" s="7">
        <v>46173</v>
      </c>
      <c r="J47" s="20" t="s">
        <v>669</v>
      </c>
      <c r="K47" s="20" t="s">
        <v>670</v>
      </c>
      <c r="L47" s="9">
        <v>100000</v>
      </c>
      <c r="M47" s="8" t="s">
        <v>671</v>
      </c>
    </row>
    <row r="48" spans="1:16" x14ac:dyDescent="0.25">
      <c r="A48" s="8"/>
      <c r="B48" s="8"/>
      <c r="C48" s="8"/>
      <c r="D48" s="8"/>
      <c r="E48" s="9"/>
      <c r="F48" s="9"/>
      <c r="G48" s="9"/>
      <c r="H48" s="8"/>
      <c r="I48" s="7"/>
      <c r="J48" s="20"/>
      <c r="K48" s="20"/>
      <c r="L48" s="9"/>
      <c r="M48" s="8"/>
    </row>
    <row r="49" spans="1:13" ht="30" x14ac:dyDescent="0.25">
      <c r="A49" s="8"/>
      <c r="B49" s="8"/>
      <c r="C49" s="8"/>
      <c r="D49" s="8"/>
      <c r="E49" s="9"/>
      <c r="F49" s="9"/>
      <c r="G49" s="9"/>
      <c r="H49" s="8"/>
      <c r="I49" s="7">
        <v>46173</v>
      </c>
      <c r="J49" s="20" t="s">
        <v>672</v>
      </c>
      <c r="K49" s="20" t="s">
        <v>687</v>
      </c>
      <c r="L49" s="9">
        <v>200000</v>
      </c>
      <c r="M49" s="8" t="s">
        <v>13</v>
      </c>
    </row>
    <row r="50" spans="1:13" x14ac:dyDescent="0.25">
      <c r="A50" s="8"/>
      <c r="B50" s="8"/>
      <c r="C50" s="8"/>
      <c r="D50" s="8"/>
      <c r="E50" s="9"/>
      <c r="F50" s="9"/>
      <c r="G50" s="9"/>
      <c r="H50" s="8"/>
      <c r="I50" s="7"/>
      <c r="J50" s="20"/>
      <c r="K50" s="20"/>
      <c r="L50" s="9"/>
      <c r="M50" s="8"/>
    </row>
    <row r="51" spans="1:13" x14ac:dyDescent="0.25">
      <c r="A51" s="8"/>
      <c r="B51" s="8"/>
      <c r="C51" s="8"/>
      <c r="D51" s="8"/>
      <c r="E51" s="9"/>
      <c r="F51" s="9"/>
      <c r="G51" s="9"/>
      <c r="H51" s="8"/>
      <c r="I51" s="7">
        <v>46173</v>
      </c>
      <c r="J51" s="20" t="s">
        <v>140</v>
      </c>
      <c r="K51" s="20" t="s">
        <v>673</v>
      </c>
      <c r="L51" s="9">
        <v>580000</v>
      </c>
      <c r="M51" s="8" t="s">
        <v>13</v>
      </c>
    </row>
    <row r="52" spans="1:13" x14ac:dyDescent="0.25">
      <c r="A52" s="8"/>
      <c r="B52" s="8"/>
      <c r="C52" s="8"/>
      <c r="D52" s="8"/>
      <c r="E52" s="9"/>
      <c r="F52" s="9"/>
      <c r="G52" s="9"/>
      <c r="H52" s="8"/>
      <c r="I52" s="7"/>
      <c r="J52" s="20"/>
      <c r="K52" s="20"/>
      <c r="L52" s="9"/>
      <c r="M52" s="8"/>
    </row>
    <row r="53" spans="1:13" x14ac:dyDescent="0.25">
      <c r="A53" s="8"/>
      <c r="B53" s="8"/>
      <c r="C53" s="8"/>
      <c r="D53" s="8"/>
      <c r="E53" s="9"/>
      <c r="F53" s="9"/>
      <c r="G53" s="9"/>
      <c r="H53" s="8"/>
      <c r="I53" s="7"/>
      <c r="J53" s="20"/>
      <c r="K53" s="20"/>
      <c r="L53" s="9"/>
      <c r="M53" s="8"/>
    </row>
    <row r="54" spans="1:13" x14ac:dyDescent="0.25">
      <c r="A54" s="8"/>
      <c r="B54" s="8"/>
      <c r="C54" s="8"/>
      <c r="D54" s="8"/>
      <c r="E54" s="9"/>
      <c r="F54" s="9"/>
      <c r="G54" s="9"/>
      <c r="H54" s="8"/>
      <c r="I54" s="7"/>
      <c r="J54" s="20"/>
      <c r="K54" s="20"/>
      <c r="L54" s="9"/>
      <c r="M54" s="8"/>
    </row>
    <row r="55" spans="1:13" x14ac:dyDescent="0.25">
      <c r="A55" s="8"/>
      <c r="B55" s="8"/>
      <c r="C55" s="8"/>
      <c r="D55" s="8"/>
      <c r="E55" s="9"/>
      <c r="F55" s="9"/>
      <c r="G55" s="9"/>
      <c r="H55" s="8"/>
      <c r="I55" s="7"/>
      <c r="J55" s="20"/>
      <c r="K55" s="20"/>
      <c r="L55" s="9"/>
      <c r="M55" s="8"/>
    </row>
    <row r="56" spans="1:13" x14ac:dyDescent="0.25">
      <c r="A56" s="8"/>
      <c r="B56" s="8"/>
      <c r="C56" s="8"/>
      <c r="D56" s="8"/>
      <c r="E56" s="9"/>
      <c r="F56" s="9"/>
      <c r="G56" s="9"/>
      <c r="H56" s="8"/>
      <c r="I56" s="7"/>
      <c r="J56" s="20"/>
      <c r="K56" s="20"/>
      <c r="L56" s="9"/>
      <c r="M56" s="8"/>
    </row>
    <row r="57" spans="1:13" x14ac:dyDescent="0.25">
      <c r="A57" s="8"/>
      <c r="B57" s="8"/>
      <c r="C57" s="8"/>
      <c r="D57" s="8"/>
      <c r="E57" s="9"/>
      <c r="F57" s="9"/>
      <c r="G57" s="9"/>
      <c r="H57" s="8"/>
      <c r="I57" s="7"/>
      <c r="J57" s="20"/>
      <c r="K57" s="20"/>
      <c r="L57" s="9"/>
      <c r="M57" s="8"/>
    </row>
    <row r="58" spans="1:13" x14ac:dyDescent="0.25">
      <c r="A58" s="8"/>
      <c r="B58" s="8"/>
      <c r="C58" s="8"/>
      <c r="D58" s="8"/>
      <c r="E58" s="9"/>
      <c r="F58" s="9"/>
      <c r="G58" s="9"/>
      <c r="H58" s="8"/>
      <c r="I58" s="7"/>
      <c r="J58" s="20"/>
      <c r="K58" s="20"/>
      <c r="L58" s="9"/>
      <c r="M58" s="8"/>
    </row>
    <row r="59" spans="1:13" x14ac:dyDescent="0.25">
      <c r="A59" s="8"/>
      <c r="B59" s="8"/>
      <c r="C59" s="8"/>
      <c r="D59" s="8"/>
      <c r="E59" s="9"/>
      <c r="F59" s="9"/>
      <c r="G59" s="9"/>
      <c r="H59" s="8"/>
      <c r="I59" s="7"/>
      <c r="J59" s="20"/>
      <c r="K59" s="20"/>
      <c r="L59" s="9"/>
      <c r="M59" s="8"/>
    </row>
    <row r="60" spans="1:13" x14ac:dyDescent="0.25">
      <c r="A60" s="8"/>
      <c r="B60" s="8"/>
      <c r="C60" s="8"/>
      <c r="D60" s="8"/>
      <c r="E60" s="9"/>
      <c r="F60" s="9"/>
      <c r="G60" s="9"/>
      <c r="H60" s="8"/>
      <c r="I60" s="7"/>
      <c r="J60" s="20"/>
      <c r="K60" s="20"/>
      <c r="L60" s="9"/>
      <c r="M60" s="8"/>
    </row>
    <row r="61" spans="1:13" x14ac:dyDescent="0.25">
      <c r="A61" s="8"/>
      <c r="B61" s="8"/>
      <c r="C61" s="8"/>
      <c r="D61" s="8"/>
      <c r="E61" s="9"/>
      <c r="F61" s="9"/>
      <c r="G61" s="9"/>
      <c r="H61" s="8"/>
      <c r="I61" s="7"/>
      <c r="J61" s="20"/>
      <c r="K61" s="20"/>
      <c r="L61" s="9"/>
      <c r="M61" s="8"/>
    </row>
    <row r="62" spans="1:13" x14ac:dyDescent="0.25">
      <c r="A62" s="8"/>
      <c r="B62" s="8"/>
      <c r="C62" s="8"/>
      <c r="D62" s="8"/>
      <c r="E62" s="9"/>
      <c r="F62" s="9"/>
      <c r="G62" s="9"/>
      <c r="H62" s="8"/>
      <c r="I62" s="7"/>
      <c r="J62" s="20"/>
      <c r="K62" s="20"/>
      <c r="L62" s="9"/>
      <c r="M62" s="8"/>
    </row>
    <row r="63" spans="1:13" x14ac:dyDescent="0.25">
      <c r="A63" s="8"/>
      <c r="B63" s="8"/>
      <c r="C63" s="8"/>
      <c r="D63" s="8"/>
      <c r="E63" s="9"/>
      <c r="F63" s="9"/>
      <c r="G63" s="9"/>
      <c r="H63" s="8"/>
      <c r="I63" s="7"/>
      <c r="J63" s="20"/>
      <c r="K63" s="20"/>
      <c r="L63" s="9"/>
      <c r="M63" s="8"/>
    </row>
    <row r="64" spans="1:13" x14ac:dyDescent="0.25">
      <c r="A64" s="8"/>
      <c r="B64" s="8"/>
      <c r="C64" s="8"/>
      <c r="D64" s="8"/>
      <c r="E64" s="9"/>
      <c r="F64" s="9"/>
      <c r="G64" s="9"/>
      <c r="H64" s="8"/>
      <c r="I64" s="7"/>
      <c r="J64" s="20"/>
      <c r="K64" s="20"/>
      <c r="L64" s="9"/>
      <c r="M64" s="8"/>
    </row>
    <row r="65" spans="1:13" x14ac:dyDescent="0.25">
      <c r="A65" s="8"/>
      <c r="B65" s="8"/>
      <c r="C65" s="8"/>
      <c r="D65" s="8"/>
      <c r="E65" s="9"/>
      <c r="F65" s="9"/>
      <c r="G65" s="9"/>
      <c r="H65" s="8"/>
      <c r="I65" s="7"/>
      <c r="J65" s="20"/>
      <c r="K65" s="20"/>
      <c r="L65" s="9"/>
      <c r="M65" s="8"/>
    </row>
    <row r="66" spans="1:13" x14ac:dyDescent="0.25">
      <c r="A66" s="8"/>
      <c r="B66" s="8"/>
      <c r="C66" s="8"/>
      <c r="D66" s="8"/>
      <c r="E66" s="9"/>
      <c r="F66" s="9"/>
      <c r="G66" s="9"/>
      <c r="H66" s="8"/>
      <c r="I66" s="7"/>
      <c r="J66" s="20"/>
      <c r="K66" s="20"/>
      <c r="L66" s="9"/>
      <c r="M66" s="8"/>
    </row>
    <row r="67" spans="1:13" x14ac:dyDescent="0.25">
      <c r="A67" s="8"/>
      <c r="B67" s="8"/>
      <c r="C67" s="8"/>
      <c r="D67" s="8"/>
      <c r="E67" s="9"/>
      <c r="F67" s="9"/>
      <c r="G67" s="9"/>
      <c r="H67" s="8"/>
      <c r="I67" s="7"/>
      <c r="J67" s="20"/>
      <c r="K67" s="20"/>
      <c r="L67" s="9"/>
      <c r="M67" s="8"/>
    </row>
    <row r="68" spans="1:13" x14ac:dyDescent="0.25">
      <c r="A68" s="8"/>
      <c r="B68" s="8"/>
      <c r="C68" s="8"/>
      <c r="D68" s="8"/>
      <c r="E68" s="9"/>
      <c r="F68" s="9"/>
      <c r="G68" s="9"/>
      <c r="H68" s="8"/>
      <c r="I68" s="7"/>
      <c r="J68" s="20"/>
      <c r="K68" s="20"/>
      <c r="L68" s="9"/>
      <c r="M68" s="8"/>
    </row>
    <row r="69" spans="1:13" x14ac:dyDescent="0.25">
      <c r="A69" s="8"/>
      <c r="B69" s="8"/>
      <c r="C69" s="8"/>
      <c r="D69" s="8"/>
      <c r="E69" s="9"/>
      <c r="F69" s="9"/>
      <c r="G69" s="9"/>
      <c r="H69" s="8"/>
      <c r="I69" s="7"/>
      <c r="J69" s="20"/>
      <c r="K69" s="20"/>
      <c r="L69" s="9"/>
      <c r="M69" s="8"/>
    </row>
    <row r="70" spans="1:13" x14ac:dyDescent="0.25">
      <c r="A70" s="8"/>
      <c r="B70" s="8"/>
      <c r="C70" s="8"/>
      <c r="D70" s="8"/>
      <c r="E70" s="9"/>
      <c r="F70" s="9"/>
      <c r="G70" s="9"/>
      <c r="H70" s="8"/>
      <c r="I70" s="7"/>
      <c r="J70" s="20"/>
      <c r="K70" s="20"/>
      <c r="L70" s="9"/>
      <c r="M70" s="8"/>
    </row>
    <row r="71" spans="1:13" x14ac:dyDescent="0.25">
      <c r="A71" s="8"/>
      <c r="B71" s="8"/>
      <c r="C71" s="8"/>
      <c r="D71" s="8"/>
      <c r="E71" s="9"/>
      <c r="F71" s="9"/>
      <c r="G71" s="9"/>
      <c r="H71" s="8"/>
      <c r="I71" s="7"/>
      <c r="J71" s="20"/>
      <c r="K71" s="20"/>
      <c r="L71" s="9"/>
      <c r="M71" s="8"/>
    </row>
    <row r="72" spans="1:13" x14ac:dyDescent="0.25">
      <c r="A72" s="8"/>
      <c r="B72" s="8"/>
      <c r="C72" s="8"/>
      <c r="D72" s="8"/>
      <c r="E72" s="9"/>
      <c r="F72" s="9"/>
      <c r="G72" s="9"/>
      <c r="H72" s="8"/>
      <c r="I72" s="7"/>
      <c r="J72" s="20"/>
      <c r="K72" s="20"/>
      <c r="L72" s="9"/>
      <c r="M72" s="20"/>
    </row>
    <row r="73" spans="1:13" x14ac:dyDescent="0.25">
      <c r="A73" s="8"/>
      <c r="B73" s="8"/>
      <c r="C73" s="8"/>
      <c r="D73" s="8"/>
      <c r="E73" s="9"/>
      <c r="F73" s="9"/>
      <c r="G73" s="9"/>
      <c r="H73" s="8"/>
      <c r="I73" s="7"/>
      <c r="J73" s="20"/>
      <c r="K73" s="20"/>
      <c r="L73" s="9"/>
      <c r="M73" s="8"/>
    </row>
    <row r="74" spans="1:13" x14ac:dyDescent="0.25">
      <c r="A74" s="8"/>
      <c r="B74" s="8"/>
      <c r="C74" s="8"/>
      <c r="D74" s="8"/>
      <c r="E74" s="9"/>
      <c r="F74" s="9"/>
      <c r="G74" s="9"/>
      <c r="H74" s="8"/>
      <c r="I74" s="7"/>
      <c r="J74" s="20"/>
      <c r="K74" s="20"/>
      <c r="L74" s="9"/>
      <c r="M74" s="8"/>
    </row>
    <row r="75" spans="1:13" x14ac:dyDescent="0.25">
      <c r="A75" s="8"/>
      <c r="B75" s="8"/>
      <c r="C75" s="8"/>
      <c r="D75" s="8"/>
      <c r="E75" s="9"/>
      <c r="F75" s="9"/>
      <c r="G75" s="9"/>
      <c r="H75" s="8"/>
      <c r="I75" s="7"/>
      <c r="J75" s="20"/>
      <c r="K75" s="20"/>
      <c r="L75" s="9"/>
      <c r="M75" s="8"/>
    </row>
    <row r="76" spans="1:13" x14ac:dyDescent="0.25">
      <c r="A76" s="8"/>
      <c r="B76" s="8"/>
      <c r="C76" s="8"/>
      <c r="D76" s="8"/>
      <c r="E76" s="9"/>
      <c r="F76" s="9"/>
      <c r="G76" s="9"/>
      <c r="H76" s="8"/>
      <c r="I76" s="7"/>
      <c r="J76" s="20"/>
      <c r="K76" s="20"/>
      <c r="L76" s="9"/>
      <c r="M76" s="8"/>
    </row>
    <row r="77" spans="1:13" x14ac:dyDescent="0.25">
      <c r="A77" s="8"/>
      <c r="B77" s="8"/>
      <c r="C77" s="8"/>
      <c r="D77" s="8"/>
      <c r="E77" s="9"/>
      <c r="F77" s="9"/>
      <c r="G77" s="9"/>
      <c r="H77" s="8"/>
      <c r="I77" s="7"/>
      <c r="J77" s="20"/>
      <c r="K77" s="20"/>
      <c r="L77" s="9"/>
      <c r="M77" s="8"/>
    </row>
    <row r="78" spans="1:13" x14ac:dyDescent="0.25">
      <c r="A78" s="8"/>
      <c r="B78" s="8"/>
      <c r="C78" s="8"/>
      <c r="D78" s="8"/>
      <c r="E78" s="9"/>
      <c r="F78" s="9"/>
      <c r="G78" s="9"/>
      <c r="H78" s="8"/>
      <c r="I78" s="7"/>
      <c r="J78" s="20"/>
      <c r="K78" s="20"/>
      <c r="L78" s="9"/>
      <c r="M78" s="8"/>
    </row>
    <row r="79" spans="1:13" x14ac:dyDescent="0.25">
      <c r="A79" s="8"/>
      <c r="B79" s="8"/>
      <c r="C79" s="8"/>
      <c r="D79" s="8"/>
      <c r="E79" s="9"/>
      <c r="F79" s="9"/>
      <c r="G79" s="9"/>
      <c r="H79" s="8"/>
      <c r="I79" s="7"/>
      <c r="J79" s="20"/>
      <c r="K79" s="20"/>
      <c r="L79" s="9"/>
      <c r="M79" s="8"/>
    </row>
    <row r="80" spans="1:13" x14ac:dyDescent="0.25">
      <c r="A80" s="8"/>
      <c r="B80" s="8"/>
      <c r="C80" s="8"/>
      <c r="D80" s="8"/>
      <c r="E80" s="9"/>
      <c r="F80" s="9"/>
      <c r="G80" s="9"/>
      <c r="H80" s="8"/>
      <c r="I80" s="7"/>
      <c r="J80" s="20"/>
      <c r="K80" s="8"/>
      <c r="L80" s="9"/>
      <c r="M80" s="8"/>
    </row>
    <row r="81" spans="1:13" x14ac:dyDescent="0.25">
      <c r="A81" s="3"/>
      <c r="B81" s="3" t="s">
        <v>14</v>
      </c>
      <c r="C81" s="3"/>
      <c r="D81" s="10">
        <f>SUM(D7:D39)</f>
        <v>0</v>
      </c>
      <c r="E81" s="10"/>
      <c r="F81" s="10">
        <f>SUM(F7:F39)</f>
        <v>59043700</v>
      </c>
      <c r="G81" s="10"/>
      <c r="H81" s="10"/>
      <c r="I81" s="10"/>
      <c r="J81" s="8"/>
      <c r="K81" s="10"/>
      <c r="L81" s="10">
        <f>SUM(L8:L80)</f>
        <v>54534200</v>
      </c>
      <c r="M81" s="3"/>
    </row>
    <row r="82" spans="1:13" x14ac:dyDescent="0.25">
      <c r="A82" s="6"/>
      <c r="B82" s="6"/>
      <c r="C82" s="6"/>
      <c r="D82" s="6"/>
      <c r="E82" s="12"/>
      <c r="F82" s="12"/>
      <c r="G82" s="12"/>
      <c r="H82" s="6"/>
      <c r="I82" s="6"/>
      <c r="J82" s="3" t="s">
        <v>14</v>
      </c>
      <c r="K82" s="6"/>
      <c r="L82" s="12"/>
      <c r="M82" s="6"/>
    </row>
    <row r="83" spans="1:13" x14ac:dyDescent="0.25">
      <c r="A83" s="6"/>
      <c r="B83" s="6"/>
      <c r="C83" s="6"/>
      <c r="D83" s="6"/>
      <c r="E83" s="11"/>
      <c r="F83" s="12" t="s">
        <v>13</v>
      </c>
      <c r="G83" s="12"/>
      <c r="H83" s="6"/>
      <c r="I83" s="6"/>
      <c r="J83" s="6"/>
      <c r="K83" s="6"/>
      <c r="L83" s="12"/>
      <c r="M83" s="6"/>
    </row>
    <row r="84" spans="1:13" x14ac:dyDescent="0.25">
      <c r="A84" s="6"/>
      <c r="B84" s="8" t="s">
        <v>15</v>
      </c>
      <c r="C84" s="8" t="s">
        <v>16</v>
      </c>
      <c r="D84" s="8"/>
      <c r="E84" s="13"/>
      <c r="F84" s="9">
        <f>F81</f>
        <v>59043700</v>
      </c>
      <c r="G84" s="12"/>
      <c r="H84" s="6"/>
      <c r="I84" s="6"/>
      <c r="J84" s="6"/>
      <c r="K84" s="6"/>
      <c r="L84" s="12"/>
      <c r="M84" s="6"/>
    </row>
    <row r="85" spans="1:13" ht="15.75" thickBot="1" x14ac:dyDescent="0.3">
      <c r="A85" s="6"/>
      <c r="B85" s="14"/>
      <c r="C85" s="14" t="s">
        <v>17</v>
      </c>
      <c r="D85" s="14"/>
      <c r="E85" s="15"/>
      <c r="F85" s="15">
        <f>L81</f>
        <v>54534200</v>
      </c>
      <c r="G85" s="12"/>
      <c r="H85" s="6"/>
      <c r="I85" s="6"/>
      <c r="J85" s="6"/>
      <c r="K85" s="6"/>
      <c r="L85" s="12"/>
      <c r="M85" s="6"/>
    </row>
    <row r="86" spans="1:13" ht="15.75" thickBot="1" x14ac:dyDescent="0.3">
      <c r="A86" s="6"/>
      <c r="B86" s="16" t="s">
        <v>18</v>
      </c>
      <c r="C86" s="17" t="s">
        <v>19</v>
      </c>
      <c r="D86" s="17"/>
      <c r="E86" s="18"/>
      <c r="F86" s="19">
        <f>F84-F85</f>
        <v>4509500</v>
      </c>
      <c r="G86" s="12"/>
      <c r="H86" s="6"/>
      <c r="I86" s="6"/>
      <c r="J86" s="6"/>
      <c r="K86" s="6"/>
      <c r="L86" s="12"/>
      <c r="M86" s="6"/>
    </row>
    <row r="88" spans="1:13" x14ac:dyDescent="0.25">
      <c r="I88" s="68" t="s">
        <v>629</v>
      </c>
    </row>
    <row r="89" spans="1:13" x14ac:dyDescent="0.25">
      <c r="H89" s="67">
        <v>46168</v>
      </c>
      <c r="I89" t="s">
        <v>490</v>
      </c>
      <c r="J89" s="45">
        <v>180000</v>
      </c>
    </row>
    <row r="90" spans="1:13" x14ac:dyDescent="0.25">
      <c r="H90" s="67">
        <v>46168</v>
      </c>
      <c r="I90" t="s">
        <v>490</v>
      </c>
      <c r="J90" s="45">
        <v>1180000</v>
      </c>
      <c r="K90" t="s">
        <v>122</v>
      </c>
    </row>
    <row r="91" spans="1:13" x14ac:dyDescent="0.25">
      <c r="J91" s="70">
        <f>SUM(J89:J90)</f>
        <v>1360000</v>
      </c>
    </row>
    <row r="92" spans="1:13" x14ac:dyDescent="0.25">
      <c r="F92" s="45">
        <v>4509500</v>
      </c>
    </row>
    <row r="93" spans="1:13" x14ac:dyDescent="0.25">
      <c r="F93" s="45">
        <v>2450000</v>
      </c>
      <c r="J93" s="78"/>
      <c r="K93" s="79" t="s">
        <v>647</v>
      </c>
      <c r="L93" s="78"/>
    </row>
    <row r="94" spans="1:13" x14ac:dyDescent="0.25">
      <c r="F94" s="45">
        <v>300000</v>
      </c>
      <c r="I94" s="75" t="s">
        <v>644</v>
      </c>
      <c r="K94" s="69">
        <v>6651900</v>
      </c>
    </row>
    <row r="95" spans="1:13" x14ac:dyDescent="0.25">
      <c r="F95" s="70">
        <f>SUM(F92:F94)</f>
        <v>7259500</v>
      </c>
      <c r="H95" s="72">
        <v>1</v>
      </c>
      <c r="I95" s="45">
        <v>2500000</v>
      </c>
      <c r="J95" s="80" t="s">
        <v>648</v>
      </c>
      <c r="K95" s="74">
        <f>J89+K94</f>
        <v>6831900</v>
      </c>
    </row>
    <row r="96" spans="1:13" x14ac:dyDescent="0.25">
      <c r="H96" s="72">
        <v>2</v>
      </c>
      <c r="I96" s="45">
        <v>1800000</v>
      </c>
    </row>
    <row r="97" spans="8:10" x14ac:dyDescent="0.25">
      <c r="H97" s="72">
        <v>3</v>
      </c>
      <c r="I97" s="45">
        <v>2500000</v>
      </c>
      <c r="J97" t="s">
        <v>649</v>
      </c>
    </row>
    <row r="98" spans="8:10" x14ac:dyDescent="0.25">
      <c r="I98" s="73">
        <f>SUM(I95:I97)</f>
        <v>6800000</v>
      </c>
      <c r="J98" s="45">
        <v>300000</v>
      </c>
    </row>
    <row r="100" spans="8:10" x14ac:dyDescent="0.25">
      <c r="I100" s="77" t="s">
        <v>645</v>
      </c>
      <c r="J100" t="s">
        <v>650</v>
      </c>
    </row>
    <row r="101" spans="8:10" x14ac:dyDescent="0.25">
      <c r="H101" s="72">
        <v>4</v>
      </c>
      <c r="I101" s="45">
        <v>1500000</v>
      </c>
      <c r="J101" s="45">
        <v>8000000</v>
      </c>
    </row>
    <row r="102" spans="8:10" x14ac:dyDescent="0.25">
      <c r="H102" s="75" t="s">
        <v>646</v>
      </c>
      <c r="I102" s="74">
        <f>I98+I101</f>
        <v>8300000</v>
      </c>
      <c r="J102" t="s">
        <v>651</v>
      </c>
    </row>
    <row r="103" spans="8:10" x14ac:dyDescent="0.25">
      <c r="J103" s="74">
        <f>J101-I101</f>
        <v>6500000</v>
      </c>
    </row>
  </sheetData>
  <mergeCells count="4">
    <mergeCell ref="A3:L3"/>
    <mergeCell ref="A4:L4"/>
    <mergeCell ref="A5:F5"/>
    <mergeCell ref="I5:L5"/>
  </mergeCells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286"/>
  <sheetViews>
    <sheetView topLeftCell="F57" workbookViewId="0">
      <selection activeCell="H64" sqref="H64"/>
    </sheetView>
  </sheetViews>
  <sheetFormatPr defaultRowHeight="15" x14ac:dyDescent="0.25"/>
  <cols>
    <col min="2" max="2" width="10.140625" bestFit="1" customWidth="1"/>
    <col min="3" max="3" width="14.7109375" bestFit="1" customWidth="1"/>
    <col min="4" max="4" width="10.140625" customWidth="1"/>
    <col min="6" max="6" width="11.42578125" customWidth="1"/>
    <col min="7" max="7" width="12.28515625" bestFit="1" customWidth="1"/>
    <col min="10" max="10" width="10.140625" bestFit="1" customWidth="1"/>
    <col min="11" max="11" width="15.140625" customWidth="1"/>
    <col min="12" max="12" width="25.7109375" customWidth="1"/>
    <col min="13" max="13" width="12.28515625" bestFit="1" customWidth="1"/>
    <col min="14" max="14" width="18" customWidth="1"/>
  </cols>
  <sheetData>
    <row r="3" spans="2:17" ht="15.75" x14ac:dyDescent="0.25">
      <c r="B3" s="160" t="s">
        <v>20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2"/>
      <c r="O3" s="88"/>
      <c r="P3" s="88"/>
      <c r="Q3" s="88"/>
    </row>
    <row r="4" spans="2:17" ht="15.75" x14ac:dyDescent="0.25">
      <c r="B4" s="160" t="s">
        <v>0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2"/>
      <c r="O4" s="88"/>
      <c r="P4" s="88"/>
      <c r="Q4" s="88"/>
    </row>
    <row r="5" spans="2:17" ht="15.75" x14ac:dyDescent="0.25">
      <c r="B5" s="161" t="s">
        <v>1</v>
      </c>
      <c r="C5" s="161"/>
      <c r="D5" s="161"/>
      <c r="E5" s="161"/>
      <c r="F5" s="161"/>
      <c r="G5" s="161"/>
      <c r="H5" s="87"/>
      <c r="I5" s="87"/>
      <c r="J5" s="161" t="s">
        <v>2</v>
      </c>
      <c r="K5" s="161"/>
      <c r="L5" s="161"/>
      <c r="M5" s="161"/>
      <c r="N5" s="2"/>
      <c r="O5" s="88"/>
      <c r="P5" s="88"/>
      <c r="Q5" s="88"/>
    </row>
    <row r="6" spans="2:17" ht="30" x14ac:dyDescent="0.25">
      <c r="B6" s="3" t="s">
        <v>3</v>
      </c>
      <c r="C6" s="3" t="s">
        <v>4</v>
      </c>
      <c r="D6" s="3" t="s">
        <v>5</v>
      </c>
      <c r="E6" s="4" t="s">
        <v>6</v>
      </c>
      <c r="F6" s="5" t="s">
        <v>7</v>
      </c>
      <c r="G6" s="4" t="s">
        <v>8</v>
      </c>
      <c r="H6" s="5" t="s">
        <v>9</v>
      </c>
      <c r="I6" s="3"/>
      <c r="J6" s="3" t="s">
        <v>3</v>
      </c>
      <c r="K6" s="3" t="s">
        <v>10</v>
      </c>
      <c r="L6" s="3" t="s">
        <v>11</v>
      </c>
      <c r="M6" s="4" t="s">
        <v>8</v>
      </c>
      <c r="N6" s="5" t="s">
        <v>9</v>
      </c>
      <c r="O6" s="88"/>
      <c r="P6" s="88"/>
      <c r="Q6" s="88"/>
    </row>
    <row r="7" spans="2:17" x14ac:dyDescent="0.25">
      <c r="B7" s="7"/>
      <c r="C7" s="20"/>
      <c r="D7" s="8"/>
      <c r="E7" s="8"/>
      <c r="F7" s="9"/>
      <c r="G7" s="9"/>
      <c r="H7" s="9"/>
      <c r="I7" s="8"/>
      <c r="J7" s="7"/>
      <c r="K7" s="20"/>
      <c r="L7" s="20"/>
      <c r="M7" s="45"/>
      <c r="N7" s="8"/>
      <c r="O7" s="88"/>
      <c r="P7" s="88"/>
      <c r="Q7" s="88"/>
    </row>
    <row r="8" spans="2:17" x14ac:dyDescent="0.25">
      <c r="B8" s="7">
        <v>46174</v>
      </c>
      <c r="C8" s="20" t="s">
        <v>679</v>
      </c>
      <c r="D8" s="20" t="s">
        <v>219</v>
      </c>
      <c r="E8" s="8"/>
      <c r="F8" s="9"/>
      <c r="G8" s="45">
        <v>4509500</v>
      </c>
      <c r="H8" s="38"/>
      <c r="I8" s="14"/>
      <c r="J8" s="7">
        <v>46174</v>
      </c>
      <c r="K8" s="20" t="s">
        <v>675</v>
      </c>
      <c r="L8" s="20" t="s">
        <v>676</v>
      </c>
      <c r="M8" s="9">
        <v>220000</v>
      </c>
      <c r="N8" s="8">
        <v>750425656</v>
      </c>
      <c r="O8" s="88"/>
      <c r="P8" s="88"/>
      <c r="Q8" s="88"/>
    </row>
    <row r="9" spans="2:17" x14ac:dyDescent="0.25">
      <c r="B9" s="7"/>
      <c r="C9" s="8"/>
      <c r="D9" s="20"/>
      <c r="E9" s="8"/>
      <c r="F9" s="9"/>
      <c r="G9" s="9"/>
      <c r="H9" s="38"/>
      <c r="I9" s="14"/>
      <c r="J9" s="7"/>
      <c r="K9" s="20"/>
      <c r="L9" s="20"/>
      <c r="M9" s="9"/>
      <c r="N9" s="8"/>
      <c r="O9" s="88"/>
      <c r="P9" s="88"/>
      <c r="Q9" s="88"/>
    </row>
    <row r="10" spans="2:17" ht="33" customHeight="1" x14ac:dyDescent="0.25">
      <c r="B10" s="7">
        <v>46174</v>
      </c>
      <c r="C10" s="20" t="s">
        <v>639</v>
      </c>
      <c r="D10" s="20" t="s">
        <v>602</v>
      </c>
      <c r="E10" s="8"/>
      <c r="F10" s="9"/>
      <c r="G10" s="9">
        <v>2450000</v>
      </c>
      <c r="H10" s="36"/>
      <c r="I10" s="8"/>
      <c r="J10" s="7">
        <v>46174</v>
      </c>
      <c r="K10" s="20" t="s">
        <v>677</v>
      </c>
      <c r="L10" s="20" t="s">
        <v>560</v>
      </c>
      <c r="M10" s="9">
        <v>190000</v>
      </c>
      <c r="N10" s="8">
        <v>772306796</v>
      </c>
      <c r="O10" s="88"/>
      <c r="P10" s="88"/>
      <c r="Q10" s="88"/>
    </row>
    <row r="11" spans="2:17" x14ac:dyDescent="0.25">
      <c r="B11" s="7"/>
      <c r="C11" s="20"/>
      <c r="D11" s="8"/>
      <c r="E11" s="8"/>
      <c r="F11" s="9"/>
      <c r="G11" s="9"/>
      <c r="H11" s="9"/>
      <c r="I11" s="8"/>
      <c r="J11" s="7"/>
      <c r="K11" s="20"/>
      <c r="L11" s="20"/>
      <c r="M11" s="9"/>
      <c r="N11" s="8"/>
      <c r="O11" s="88"/>
      <c r="P11" s="88"/>
      <c r="Q11" s="88"/>
    </row>
    <row r="12" spans="2:17" ht="30" customHeight="1" x14ac:dyDescent="0.25">
      <c r="B12" s="7">
        <v>46174</v>
      </c>
      <c r="C12" s="8" t="s">
        <v>674</v>
      </c>
      <c r="D12" s="20" t="s">
        <v>564</v>
      </c>
      <c r="E12" s="8"/>
      <c r="F12" s="9"/>
      <c r="G12" s="9">
        <v>300000</v>
      </c>
      <c r="H12" s="9"/>
      <c r="I12" s="8"/>
      <c r="J12" s="7">
        <v>46174</v>
      </c>
      <c r="K12" s="20" t="s">
        <v>24</v>
      </c>
      <c r="L12" s="20" t="s">
        <v>678</v>
      </c>
      <c r="M12" s="9">
        <v>350000</v>
      </c>
      <c r="N12" s="8">
        <v>700742461</v>
      </c>
      <c r="O12" s="88"/>
      <c r="P12" s="88"/>
      <c r="Q12" s="88"/>
    </row>
    <row r="13" spans="2:17" x14ac:dyDescent="0.25">
      <c r="B13" s="7"/>
      <c r="C13" s="8"/>
      <c r="D13" s="8"/>
      <c r="E13" s="8"/>
      <c r="F13" s="9"/>
      <c r="G13" s="9"/>
      <c r="H13" s="9"/>
      <c r="I13" s="8"/>
      <c r="J13" s="7"/>
      <c r="K13" s="8"/>
      <c r="L13" s="20"/>
      <c r="M13" s="9"/>
      <c r="N13" s="8"/>
      <c r="O13" s="88"/>
      <c r="P13" s="88"/>
      <c r="Q13" s="88"/>
    </row>
    <row r="14" spans="2:17" ht="27.75" customHeight="1" x14ac:dyDescent="0.25">
      <c r="B14" s="7">
        <v>46174</v>
      </c>
      <c r="C14" s="20" t="s">
        <v>639</v>
      </c>
      <c r="D14" s="20" t="s">
        <v>564</v>
      </c>
      <c r="E14" s="8"/>
      <c r="F14" s="9"/>
      <c r="G14" s="9">
        <v>1403000</v>
      </c>
      <c r="H14" s="9"/>
      <c r="I14" s="8"/>
      <c r="J14" s="7">
        <v>46175</v>
      </c>
      <c r="K14" s="20" t="s">
        <v>686</v>
      </c>
      <c r="L14" s="20" t="s">
        <v>685</v>
      </c>
      <c r="M14" s="9">
        <v>190000</v>
      </c>
      <c r="N14" s="20" t="s">
        <v>684</v>
      </c>
      <c r="O14" s="88"/>
      <c r="P14" s="88"/>
      <c r="Q14" s="88"/>
    </row>
    <row r="15" spans="2:17" x14ac:dyDescent="0.25">
      <c r="B15" s="8"/>
      <c r="C15" s="8"/>
      <c r="D15" s="8"/>
      <c r="E15" s="8"/>
      <c r="F15" s="9"/>
      <c r="G15" s="9"/>
      <c r="H15" s="9"/>
      <c r="I15" s="8"/>
      <c r="J15" s="7"/>
      <c r="K15" s="8"/>
      <c r="L15" s="20"/>
      <c r="M15" s="9"/>
      <c r="N15" s="8"/>
      <c r="O15" s="88"/>
      <c r="P15" s="88"/>
      <c r="Q15" s="88"/>
    </row>
    <row r="16" spans="2:17" ht="32.25" customHeight="1" x14ac:dyDescent="0.25">
      <c r="B16" s="7">
        <v>46175</v>
      </c>
      <c r="C16" s="8" t="s">
        <v>627</v>
      </c>
      <c r="D16" s="20" t="s">
        <v>564</v>
      </c>
      <c r="E16" s="8"/>
      <c r="F16" s="9"/>
      <c r="G16" s="9">
        <v>2250000</v>
      </c>
      <c r="H16" s="9"/>
      <c r="I16" s="8"/>
      <c r="J16" s="7">
        <v>46175</v>
      </c>
      <c r="K16" s="20" t="s">
        <v>232</v>
      </c>
      <c r="L16" s="20" t="s">
        <v>683</v>
      </c>
      <c r="M16" s="9">
        <v>2157000</v>
      </c>
      <c r="N16" s="20">
        <v>779915273</v>
      </c>
      <c r="O16" s="88"/>
      <c r="P16" s="88"/>
      <c r="Q16" s="88"/>
    </row>
    <row r="17" spans="2:17" x14ac:dyDescent="0.25">
      <c r="B17" s="7"/>
      <c r="C17" s="20"/>
      <c r="D17" s="20"/>
      <c r="E17" s="8"/>
      <c r="F17" s="9"/>
      <c r="G17" s="9"/>
      <c r="H17" s="9"/>
      <c r="I17" s="8"/>
      <c r="J17" s="7"/>
      <c r="K17" s="8"/>
      <c r="L17" s="20"/>
      <c r="M17" s="9"/>
      <c r="N17" s="8"/>
      <c r="O17" s="88"/>
      <c r="P17" s="88"/>
      <c r="Q17" s="88"/>
    </row>
    <row r="18" spans="2:17" ht="30.75" customHeight="1" x14ac:dyDescent="0.25">
      <c r="B18" s="7">
        <v>46180</v>
      </c>
      <c r="C18" s="8" t="s">
        <v>720</v>
      </c>
      <c r="D18" s="20" t="s">
        <v>564</v>
      </c>
      <c r="E18" s="8"/>
      <c r="F18" s="9"/>
      <c r="G18" s="9">
        <f>170000+1550000</f>
        <v>1720000</v>
      </c>
      <c r="H18" s="9"/>
      <c r="I18" s="8"/>
      <c r="J18" s="7">
        <v>46175</v>
      </c>
      <c r="K18" s="20" t="s">
        <v>682</v>
      </c>
      <c r="L18" s="20" t="s">
        <v>681</v>
      </c>
      <c r="M18" s="9">
        <v>1090000</v>
      </c>
      <c r="N18" s="8">
        <v>78474430011</v>
      </c>
      <c r="O18" s="88"/>
      <c r="P18" s="88"/>
      <c r="Q18" s="88"/>
    </row>
    <row r="19" spans="2:17" x14ac:dyDescent="0.25">
      <c r="B19" s="7"/>
      <c r="C19" s="20"/>
      <c r="D19" s="20"/>
      <c r="E19" s="8"/>
      <c r="F19" s="9"/>
      <c r="G19" s="9"/>
      <c r="H19" s="9"/>
      <c r="I19" s="8"/>
      <c r="J19" s="7"/>
      <c r="K19" s="20"/>
      <c r="L19" s="20"/>
      <c r="M19" s="9"/>
      <c r="N19" s="8"/>
      <c r="O19" s="88"/>
      <c r="P19" s="88"/>
      <c r="Q19" s="88"/>
    </row>
    <row r="20" spans="2:17" ht="19.5" customHeight="1" x14ac:dyDescent="0.25">
      <c r="B20" s="7">
        <v>46181</v>
      </c>
      <c r="C20" s="8" t="s">
        <v>729</v>
      </c>
      <c r="D20" s="8" t="s">
        <v>123</v>
      </c>
      <c r="E20" s="8"/>
      <c r="F20" s="9"/>
      <c r="G20" s="9">
        <v>20000000</v>
      </c>
      <c r="H20" s="9"/>
      <c r="I20" s="8"/>
      <c r="J20" s="7">
        <v>46175</v>
      </c>
      <c r="K20" s="20" t="s">
        <v>532</v>
      </c>
      <c r="L20" s="20" t="s">
        <v>673</v>
      </c>
      <c r="M20" s="9">
        <v>300000</v>
      </c>
      <c r="N20" s="8" t="s">
        <v>13</v>
      </c>
      <c r="O20" s="88"/>
      <c r="P20" s="88"/>
      <c r="Q20" s="88"/>
    </row>
    <row r="21" spans="2:17" x14ac:dyDescent="0.25">
      <c r="B21" s="7"/>
      <c r="C21" s="20"/>
      <c r="D21" s="20"/>
      <c r="E21" s="8"/>
      <c r="F21" s="9"/>
      <c r="G21" s="9"/>
      <c r="H21" s="9"/>
      <c r="I21" s="8"/>
      <c r="J21" s="7"/>
      <c r="K21" s="8"/>
      <c r="L21" s="20"/>
      <c r="M21" s="9"/>
      <c r="N21" s="8"/>
      <c r="O21" s="88"/>
      <c r="P21" s="88"/>
      <c r="Q21" s="88"/>
    </row>
    <row r="22" spans="2:17" ht="30" x14ac:dyDescent="0.25">
      <c r="B22" s="7">
        <v>46183</v>
      </c>
      <c r="C22" s="8" t="s">
        <v>720</v>
      </c>
      <c r="D22" s="20" t="s">
        <v>757</v>
      </c>
      <c r="E22" s="8"/>
      <c r="F22" s="9"/>
      <c r="G22" s="9">
        <v>4730000</v>
      </c>
      <c r="H22" s="9"/>
      <c r="I22" s="8"/>
      <c r="J22" s="7">
        <v>46175</v>
      </c>
      <c r="K22" s="20" t="s">
        <v>140</v>
      </c>
      <c r="L22" s="20" t="s">
        <v>680</v>
      </c>
      <c r="M22" s="9">
        <v>7000</v>
      </c>
      <c r="N22" s="8" t="s">
        <v>13</v>
      </c>
      <c r="O22" s="88"/>
      <c r="P22" s="88"/>
      <c r="Q22" s="88"/>
    </row>
    <row r="23" spans="2:17" x14ac:dyDescent="0.25">
      <c r="B23" s="7"/>
      <c r="C23" s="20"/>
      <c r="D23" s="20"/>
      <c r="E23" s="8"/>
      <c r="F23" s="9"/>
      <c r="G23" s="9"/>
      <c r="H23" s="9"/>
      <c r="I23" s="8"/>
      <c r="J23" s="7"/>
      <c r="K23" s="8"/>
      <c r="L23" s="20"/>
      <c r="M23" s="9"/>
      <c r="N23" s="8"/>
      <c r="O23" s="88"/>
      <c r="P23" s="88"/>
      <c r="Q23" s="88"/>
    </row>
    <row r="24" spans="2:17" ht="30" x14ac:dyDescent="0.25">
      <c r="B24" s="7">
        <v>46184</v>
      </c>
      <c r="C24" s="20" t="s">
        <v>639</v>
      </c>
      <c r="D24" s="20" t="s">
        <v>564</v>
      </c>
      <c r="E24" s="8"/>
      <c r="F24" s="9"/>
      <c r="G24" s="9">
        <v>500000</v>
      </c>
      <c r="H24" s="9"/>
      <c r="I24" s="8"/>
      <c r="J24" s="41">
        <v>46176</v>
      </c>
      <c r="K24" s="20" t="s">
        <v>539</v>
      </c>
      <c r="L24" s="20" t="s">
        <v>688</v>
      </c>
      <c r="M24" s="9">
        <v>810000</v>
      </c>
      <c r="N24" s="8">
        <v>772944146</v>
      </c>
      <c r="O24" s="88"/>
      <c r="P24" s="88"/>
      <c r="Q24" s="88"/>
    </row>
    <row r="25" spans="2:17" x14ac:dyDescent="0.25">
      <c r="B25" s="7"/>
      <c r="C25" s="8"/>
      <c r="D25" s="20"/>
      <c r="E25" s="8"/>
      <c r="F25" s="9"/>
      <c r="G25" s="9"/>
      <c r="H25" s="9"/>
      <c r="I25" s="8"/>
      <c r="J25" s="7"/>
      <c r="K25" s="8"/>
      <c r="L25" s="20"/>
      <c r="N25" s="8"/>
      <c r="O25" s="88"/>
      <c r="P25" s="88"/>
      <c r="Q25" s="88"/>
    </row>
    <row r="26" spans="2:17" ht="30" x14ac:dyDescent="0.25">
      <c r="B26" s="7">
        <v>46184</v>
      </c>
      <c r="C26" s="20" t="s">
        <v>766</v>
      </c>
      <c r="D26" s="20" t="s">
        <v>765</v>
      </c>
      <c r="E26" s="8"/>
      <c r="F26" s="9"/>
      <c r="G26" s="9">
        <v>65000</v>
      </c>
      <c r="H26" s="9"/>
      <c r="I26" s="8"/>
      <c r="J26" s="7">
        <v>46176</v>
      </c>
      <c r="K26" s="8" t="s">
        <v>689</v>
      </c>
      <c r="L26" s="20" t="s">
        <v>690</v>
      </c>
      <c r="M26" s="9">
        <v>1018000</v>
      </c>
      <c r="N26" s="8">
        <v>776312022</v>
      </c>
      <c r="O26" s="88"/>
      <c r="P26" s="88"/>
      <c r="Q26" s="88"/>
    </row>
    <row r="27" spans="2:17" x14ac:dyDescent="0.25">
      <c r="B27" s="7"/>
      <c r="C27" s="20"/>
      <c r="D27" s="20"/>
      <c r="E27" s="8"/>
      <c r="F27" s="9"/>
      <c r="G27" s="9"/>
      <c r="H27" s="9"/>
      <c r="I27" s="8"/>
      <c r="J27" s="7"/>
      <c r="K27" s="20"/>
      <c r="L27" s="20"/>
      <c r="N27" s="8"/>
      <c r="O27" s="88"/>
      <c r="P27" s="88"/>
      <c r="Q27" s="88"/>
    </row>
    <row r="28" spans="2:17" ht="30" x14ac:dyDescent="0.25">
      <c r="B28" s="7">
        <v>46185</v>
      </c>
      <c r="C28" s="20" t="s">
        <v>639</v>
      </c>
      <c r="D28" s="20" t="s">
        <v>564</v>
      </c>
      <c r="E28" s="8"/>
      <c r="F28" s="9"/>
      <c r="G28" s="9">
        <v>17470000</v>
      </c>
      <c r="H28" s="9"/>
      <c r="I28" s="8"/>
      <c r="J28" s="7">
        <v>46176</v>
      </c>
      <c r="K28" s="8" t="s">
        <v>691</v>
      </c>
      <c r="L28" s="20" t="s">
        <v>692</v>
      </c>
      <c r="M28" s="9">
        <v>154000</v>
      </c>
      <c r="N28" s="8">
        <v>709344939</v>
      </c>
      <c r="O28" s="88"/>
      <c r="P28" s="88"/>
      <c r="Q28" s="88"/>
    </row>
    <row r="29" spans="2:17" x14ac:dyDescent="0.25">
      <c r="B29" s="7"/>
      <c r="C29" s="20"/>
      <c r="D29" s="20"/>
      <c r="E29" s="8"/>
      <c r="F29" s="9"/>
      <c r="G29" s="9"/>
      <c r="H29" s="9"/>
      <c r="I29" s="8"/>
      <c r="J29" s="7"/>
      <c r="K29" s="8"/>
      <c r="L29" s="20"/>
      <c r="M29" s="9"/>
      <c r="N29" s="8"/>
      <c r="O29" s="88"/>
      <c r="P29" s="88"/>
      <c r="Q29" s="88"/>
    </row>
    <row r="30" spans="2:17" ht="30" x14ac:dyDescent="0.25">
      <c r="B30" s="7">
        <v>46188</v>
      </c>
      <c r="C30" s="8" t="s">
        <v>729</v>
      </c>
      <c r="D30" s="8" t="s">
        <v>123</v>
      </c>
      <c r="E30" s="8"/>
      <c r="F30" s="9"/>
      <c r="G30" s="9">
        <v>60000000</v>
      </c>
      <c r="H30" s="9"/>
      <c r="I30" s="8"/>
      <c r="J30" s="7">
        <v>46176</v>
      </c>
      <c r="K30" s="20" t="s">
        <v>706</v>
      </c>
      <c r="L30" s="20" t="s">
        <v>693</v>
      </c>
      <c r="M30" s="9">
        <v>1000000</v>
      </c>
      <c r="N30" s="20">
        <v>755262085</v>
      </c>
      <c r="O30" s="88"/>
      <c r="P30" s="88"/>
      <c r="Q30" s="88"/>
    </row>
    <row r="31" spans="2:17" x14ac:dyDescent="0.25">
      <c r="B31" s="7"/>
      <c r="C31" s="8"/>
      <c r="D31" s="20"/>
      <c r="E31" s="8"/>
      <c r="F31" s="9"/>
      <c r="G31" s="9"/>
      <c r="H31" s="9"/>
      <c r="I31" s="8"/>
      <c r="J31" s="7"/>
      <c r="K31" s="8"/>
      <c r="L31" s="20"/>
      <c r="M31" s="9"/>
      <c r="N31" s="20"/>
      <c r="O31" s="88"/>
      <c r="P31" s="88"/>
      <c r="Q31" s="88"/>
    </row>
    <row r="32" spans="2:17" ht="30" x14ac:dyDescent="0.25">
      <c r="B32" s="7">
        <v>46191</v>
      </c>
      <c r="C32" s="8" t="s">
        <v>729</v>
      </c>
      <c r="D32" s="8" t="s">
        <v>123</v>
      </c>
      <c r="E32" s="8"/>
      <c r="F32" s="9"/>
      <c r="G32" s="9">
        <v>40000000</v>
      </c>
      <c r="H32" s="9"/>
      <c r="I32" s="8"/>
      <c r="J32" s="7">
        <v>46176</v>
      </c>
      <c r="K32" s="8" t="s">
        <v>694</v>
      </c>
      <c r="L32" s="20" t="s">
        <v>695</v>
      </c>
      <c r="M32" s="9">
        <v>64000</v>
      </c>
      <c r="N32" s="8">
        <v>791049179</v>
      </c>
      <c r="O32" s="88"/>
      <c r="P32" s="88"/>
      <c r="Q32" s="88"/>
    </row>
    <row r="33" spans="2:17" x14ac:dyDescent="0.25">
      <c r="B33" s="8"/>
      <c r="C33" s="8"/>
      <c r="D33" s="8"/>
      <c r="E33" s="8"/>
      <c r="F33" s="9"/>
      <c r="G33" s="9"/>
      <c r="H33" s="9"/>
      <c r="I33" s="8"/>
      <c r="J33" s="7"/>
      <c r="K33" s="20"/>
      <c r="L33" s="20"/>
      <c r="M33" s="9"/>
      <c r="N33" s="8"/>
      <c r="O33" s="72"/>
      <c r="P33" s="72"/>
      <c r="Q33" s="72"/>
    </row>
    <row r="34" spans="2:17" ht="30" x14ac:dyDescent="0.25">
      <c r="B34" s="7">
        <v>46194</v>
      </c>
      <c r="C34" s="20" t="s">
        <v>639</v>
      </c>
      <c r="D34" s="20" t="s">
        <v>564</v>
      </c>
      <c r="E34" s="8"/>
      <c r="F34" s="9"/>
      <c r="G34" s="9">
        <v>350000</v>
      </c>
      <c r="H34" s="9"/>
      <c r="I34" s="8"/>
      <c r="J34" s="7">
        <v>46176</v>
      </c>
      <c r="K34" s="8" t="s">
        <v>140</v>
      </c>
      <c r="L34" s="20" t="s">
        <v>696</v>
      </c>
      <c r="M34" s="9">
        <v>5000</v>
      </c>
      <c r="N34" s="8" t="s">
        <v>13</v>
      </c>
      <c r="O34" s="88"/>
      <c r="P34" s="88"/>
      <c r="Q34" s="88"/>
    </row>
    <row r="35" spans="2:17" x14ac:dyDescent="0.25">
      <c r="B35" s="8"/>
      <c r="C35" s="8"/>
      <c r="D35" s="8"/>
      <c r="E35" s="8"/>
      <c r="F35" s="9"/>
      <c r="G35" s="9"/>
      <c r="H35" s="9"/>
      <c r="I35" s="8"/>
      <c r="J35" s="7"/>
      <c r="K35" s="8"/>
      <c r="L35" s="20"/>
      <c r="M35" s="9"/>
      <c r="N35" s="8"/>
      <c r="O35" s="88"/>
      <c r="P35" s="88"/>
      <c r="Q35" s="88"/>
    </row>
    <row r="36" spans="2:17" x14ac:dyDescent="0.25">
      <c r="B36" s="7">
        <v>46195</v>
      </c>
      <c r="C36" s="8" t="s">
        <v>729</v>
      </c>
      <c r="D36" s="8" t="s">
        <v>123</v>
      </c>
      <c r="E36" s="8"/>
      <c r="F36" s="9"/>
      <c r="G36" s="9">
        <v>25000000</v>
      </c>
      <c r="H36" s="9"/>
      <c r="I36" s="8"/>
      <c r="J36" s="7">
        <v>46177</v>
      </c>
      <c r="K36" s="20" t="s">
        <v>697</v>
      </c>
      <c r="L36" s="20" t="s">
        <v>698</v>
      </c>
      <c r="M36" s="9">
        <v>70000</v>
      </c>
      <c r="N36" s="8" t="s">
        <v>13</v>
      </c>
      <c r="O36" s="88"/>
      <c r="P36" s="88"/>
      <c r="Q36" s="88"/>
    </row>
    <row r="37" spans="2:17" x14ac:dyDescent="0.25">
      <c r="B37" s="8"/>
      <c r="C37" s="8"/>
      <c r="D37" s="8"/>
      <c r="E37" s="8"/>
      <c r="F37" s="9"/>
      <c r="G37" s="9"/>
      <c r="H37" s="9"/>
      <c r="I37" s="8"/>
      <c r="J37" s="7"/>
      <c r="K37" s="20"/>
      <c r="L37" s="20"/>
      <c r="M37" s="9"/>
      <c r="N37" s="20"/>
      <c r="O37" s="88"/>
      <c r="P37" s="88"/>
      <c r="Q37" s="88"/>
    </row>
    <row r="38" spans="2:17" ht="30" x14ac:dyDescent="0.25">
      <c r="B38" s="7">
        <v>46195</v>
      </c>
      <c r="C38" s="8" t="s">
        <v>861</v>
      </c>
      <c r="D38" s="20" t="s">
        <v>564</v>
      </c>
      <c r="E38" s="8"/>
      <c r="F38" s="9"/>
      <c r="G38" s="9">
        <v>1000000</v>
      </c>
      <c r="H38" s="9"/>
      <c r="I38" s="8"/>
      <c r="J38" s="7">
        <v>46177</v>
      </c>
      <c r="K38" s="8" t="s">
        <v>699</v>
      </c>
      <c r="L38" s="20" t="s">
        <v>700</v>
      </c>
      <c r="M38" s="56">
        <v>580000</v>
      </c>
      <c r="N38" s="8" t="s">
        <v>13</v>
      </c>
      <c r="O38" s="88"/>
      <c r="P38" s="88"/>
      <c r="Q38" s="88"/>
    </row>
    <row r="39" spans="2:17" s="89" customFormat="1" x14ac:dyDescent="0.25">
      <c r="B39" s="8"/>
      <c r="C39" s="8"/>
      <c r="D39" s="8"/>
      <c r="E39" s="8"/>
      <c r="F39" s="9"/>
      <c r="G39" s="9"/>
      <c r="H39" s="9"/>
      <c r="I39" s="8"/>
      <c r="J39" s="7"/>
      <c r="K39" s="8"/>
      <c r="L39" s="20"/>
      <c r="M39" s="90"/>
      <c r="N39" s="8"/>
    </row>
    <row r="40" spans="2:17" ht="30" x14ac:dyDescent="0.25">
      <c r="B40" s="7">
        <v>46196</v>
      </c>
      <c r="C40" s="8" t="s">
        <v>627</v>
      </c>
      <c r="D40" s="20" t="s">
        <v>564</v>
      </c>
      <c r="E40" s="8"/>
      <c r="F40" s="9"/>
      <c r="G40" s="9">
        <v>550000</v>
      </c>
      <c r="H40" s="9"/>
      <c r="I40" s="8"/>
      <c r="J40" s="7">
        <v>46177</v>
      </c>
      <c r="K40" s="20" t="s">
        <v>704</v>
      </c>
      <c r="L40" s="20" t="s">
        <v>703</v>
      </c>
      <c r="M40" s="9">
        <v>95000</v>
      </c>
      <c r="N40" s="20">
        <v>745766549</v>
      </c>
      <c r="O40" s="88"/>
      <c r="P40" s="88"/>
      <c r="Q40" s="88"/>
    </row>
    <row r="41" spans="2:17" ht="30" x14ac:dyDescent="0.25">
      <c r="B41" s="8"/>
      <c r="C41" s="8"/>
      <c r="D41" s="8"/>
      <c r="E41" s="8"/>
      <c r="F41" s="9"/>
      <c r="G41" s="9"/>
      <c r="H41" s="9"/>
      <c r="I41" s="8"/>
      <c r="J41" s="7">
        <v>46177</v>
      </c>
      <c r="K41" s="20" t="s">
        <v>702</v>
      </c>
      <c r="L41" s="20" t="s">
        <v>701</v>
      </c>
      <c r="M41" s="9">
        <v>50000</v>
      </c>
      <c r="N41" s="8" t="s">
        <v>13</v>
      </c>
      <c r="O41" s="88"/>
      <c r="P41" s="88"/>
      <c r="Q41" s="88"/>
    </row>
    <row r="42" spans="2:17" x14ac:dyDescent="0.25">
      <c r="B42" s="8"/>
      <c r="C42" s="8"/>
      <c r="D42" s="8"/>
      <c r="E42" s="8"/>
      <c r="F42" s="9"/>
      <c r="G42" s="9"/>
      <c r="H42" s="9"/>
      <c r="I42" s="8"/>
      <c r="J42" s="7"/>
      <c r="K42" s="20"/>
      <c r="L42" s="20"/>
      <c r="M42" s="9"/>
      <c r="N42" s="20"/>
      <c r="O42" s="76"/>
      <c r="P42" s="88"/>
      <c r="Q42" s="88"/>
    </row>
    <row r="43" spans="2:17" ht="30" x14ac:dyDescent="0.25">
      <c r="B43" s="7">
        <v>46197</v>
      </c>
      <c r="C43" s="8" t="s">
        <v>729</v>
      </c>
      <c r="D43" s="20" t="s">
        <v>564</v>
      </c>
      <c r="E43" s="8"/>
      <c r="F43" s="9"/>
      <c r="G43" s="9">
        <v>27000000</v>
      </c>
      <c r="H43" s="9"/>
      <c r="I43" s="8"/>
      <c r="J43" s="7">
        <v>46177</v>
      </c>
      <c r="K43" s="20" t="s">
        <v>143</v>
      </c>
      <c r="L43" s="20" t="s">
        <v>705</v>
      </c>
      <c r="M43" s="9">
        <v>800000</v>
      </c>
      <c r="N43" s="8">
        <v>755262085</v>
      </c>
      <c r="O43" s="88"/>
      <c r="P43" s="88"/>
      <c r="Q43" s="88"/>
    </row>
    <row r="44" spans="2:17" x14ac:dyDescent="0.25">
      <c r="B44" s="8"/>
      <c r="C44" s="8"/>
      <c r="D44" s="8"/>
      <c r="E44" s="8"/>
      <c r="F44" s="9"/>
      <c r="G44" s="9"/>
      <c r="H44" s="9"/>
      <c r="I44" s="8"/>
      <c r="J44" s="7"/>
      <c r="K44" s="20"/>
      <c r="L44" s="20"/>
      <c r="M44" s="9"/>
      <c r="N44" s="8"/>
      <c r="O44" s="88"/>
      <c r="P44" s="88"/>
      <c r="Q44" s="88"/>
    </row>
    <row r="45" spans="2:17" ht="30" x14ac:dyDescent="0.25">
      <c r="B45" s="7">
        <v>46198</v>
      </c>
      <c r="C45" s="8" t="s">
        <v>627</v>
      </c>
      <c r="D45" s="20" t="s">
        <v>564</v>
      </c>
      <c r="E45" s="8"/>
      <c r="F45" s="9"/>
      <c r="G45" s="9">
        <v>3000000</v>
      </c>
      <c r="H45" s="9"/>
      <c r="I45" s="8"/>
      <c r="J45" s="7">
        <v>46177</v>
      </c>
      <c r="K45" s="20" t="s">
        <v>710</v>
      </c>
      <c r="L45" s="20" t="s">
        <v>709</v>
      </c>
      <c r="M45" s="9">
        <v>350000</v>
      </c>
      <c r="N45" s="8">
        <v>706926441</v>
      </c>
      <c r="O45" s="88"/>
      <c r="P45" s="88"/>
      <c r="Q45" s="88"/>
    </row>
    <row r="46" spans="2:17" ht="30" x14ac:dyDescent="0.25">
      <c r="B46" s="7">
        <v>46199</v>
      </c>
      <c r="C46" s="8" t="s">
        <v>878</v>
      </c>
      <c r="D46" s="20" t="s">
        <v>564</v>
      </c>
      <c r="E46" s="8"/>
      <c r="F46" s="9" t="s">
        <v>891</v>
      </c>
      <c r="G46" s="9">
        <v>1600000</v>
      </c>
      <c r="H46" s="9"/>
      <c r="I46" s="8"/>
      <c r="J46" s="7" t="s">
        <v>708</v>
      </c>
      <c r="K46" s="20" t="s">
        <v>24</v>
      </c>
      <c r="L46" s="20" t="s">
        <v>707</v>
      </c>
      <c r="M46" s="9">
        <v>400000</v>
      </c>
      <c r="N46" s="20">
        <v>700742461</v>
      </c>
      <c r="O46" s="88"/>
      <c r="P46" s="88"/>
      <c r="Q46" s="88"/>
    </row>
    <row r="47" spans="2:17" x14ac:dyDescent="0.25">
      <c r="B47" s="8"/>
      <c r="C47" s="8"/>
      <c r="D47" s="8"/>
      <c r="E47" s="8"/>
      <c r="F47" s="9"/>
      <c r="G47" s="9"/>
      <c r="H47" s="9"/>
      <c r="I47" s="8"/>
      <c r="J47" s="7"/>
      <c r="K47" s="20"/>
      <c r="L47" s="20"/>
      <c r="M47" s="9"/>
      <c r="N47" s="8"/>
      <c r="O47" s="88"/>
      <c r="P47" s="88"/>
      <c r="Q47" s="88"/>
    </row>
    <row r="48" spans="2:17" x14ac:dyDescent="0.25">
      <c r="B48" s="7">
        <v>46199</v>
      </c>
      <c r="C48" s="8" t="s">
        <v>879</v>
      </c>
      <c r="D48" s="8" t="s">
        <v>123</v>
      </c>
      <c r="E48" s="8"/>
      <c r="F48" s="9"/>
      <c r="G48" s="9">
        <v>100000</v>
      </c>
      <c r="H48" s="9"/>
      <c r="I48" s="8"/>
      <c r="J48" s="7">
        <v>46178</v>
      </c>
      <c r="K48" s="20" t="s">
        <v>24</v>
      </c>
      <c r="L48" s="20" t="s">
        <v>727</v>
      </c>
      <c r="M48" s="9">
        <v>184000</v>
      </c>
      <c r="N48" s="8">
        <v>700742461</v>
      </c>
      <c r="O48" s="88"/>
      <c r="P48" s="88"/>
      <c r="Q48" s="88"/>
    </row>
    <row r="49" spans="2:17" x14ac:dyDescent="0.25">
      <c r="B49" s="8"/>
      <c r="C49" s="8"/>
      <c r="D49" s="8"/>
      <c r="E49" s="8"/>
      <c r="F49" s="9"/>
      <c r="G49" s="9"/>
      <c r="H49" s="9"/>
      <c r="I49" s="8"/>
      <c r="J49" s="7">
        <v>46178</v>
      </c>
      <c r="K49" s="20" t="s">
        <v>187</v>
      </c>
      <c r="L49" s="20" t="s">
        <v>711</v>
      </c>
      <c r="M49" s="9">
        <v>698000</v>
      </c>
      <c r="N49" s="8">
        <v>702750820</v>
      </c>
      <c r="O49" s="88"/>
      <c r="P49" s="88"/>
      <c r="Q49" s="88"/>
    </row>
    <row r="50" spans="2:17" x14ac:dyDescent="0.25">
      <c r="B50" s="7">
        <v>46199</v>
      </c>
      <c r="C50" s="8" t="s">
        <v>886</v>
      </c>
      <c r="D50" s="8" t="s">
        <v>123</v>
      </c>
      <c r="E50" s="8"/>
      <c r="F50" s="9"/>
      <c r="G50" s="9">
        <v>2000000</v>
      </c>
      <c r="H50" s="9"/>
      <c r="I50" s="8"/>
      <c r="J50" s="7"/>
      <c r="K50" s="20"/>
      <c r="L50" s="20"/>
      <c r="M50" s="9"/>
      <c r="N50" s="8"/>
      <c r="O50" s="88"/>
      <c r="P50" s="88"/>
      <c r="Q50" s="88"/>
    </row>
    <row r="51" spans="2:17" x14ac:dyDescent="0.25">
      <c r="B51" s="8"/>
      <c r="C51" s="8"/>
      <c r="D51" s="8"/>
      <c r="E51" s="8"/>
      <c r="F51" s="9"/>
      <c r="G51" s="9"/>
      <c r="H51" s="9"/>
      <c r="I51" s="8"/>
      <c r="J51" s="7">
        <v>46178</v>
      </c>
      <c r="K51" s="20" t="s">
        <v>712</v>
      </c>
      <c r="L51" s="20" t="s">
        <v>178</v>
      </c>
      <c r="M51" s="9">
        <v>52000</v>
      </c>
      <c r="N51" s="8">
        <v>701918970</v>
      </c>
      <c r="O51" s="88"/>
      <c r="P51" s="88"/>
      <c r="Q51" s="88"/>
    </row>
    <row r="52" spans="2:17" ht="30" x14ac:dyDescent="0.25">
      <c r="B52" s="7">
        <v>46200</v>
      </c>
      <c r="C52" s="20" t="s">
        <v>890</v>
      </c>
      <c r="D52" s="8" t="s">
        <v>123</v>
      </c>
      <c r="E52" s="8"/>
      <c r="F52" s="9" t="s">
        <v>891</v>
      </c>
      <c r="G52" s="9">
        <v>1230000</v>
      </c>
      <c r="H52" s="9"/>
      <c r="I52" s="8"/>
      <c r="J52" s="7"/>
      <c r="K52" s="20"/>
      <c r="L52" s="20"/>
      <c r="M52" s="9"/>
      <c r="N52" s="8"/>
      <c r="O52" s="88"/>
      <c r="P52" s="88"/>
      <c r="Q52" s="88"/>
    </row>
    <row r="53" spans="2:17" x14ac:dyDescent="0.25">
      <c r="B53" s="8"/>
      <c r="C53" s="8"/>
      <c r="D53" s="8"/>
      <c r="E53" s="8"/>
      <c r="F53" s="9"/>
      <c r="G53" s="9"/>
      <c r="H53" s="9"/>
      <c r="I53" s="8"/>
      <c r="J53" s="7">
        <v>46179</v>
      </c>
      <c r="K53" s="20" t="s">
        <v>713</v>
      </c>
      <c r="L53" s="20" t="s">
        <v>560</v>
      </c>
      <c r="M53" s="9">
        <v>47000</v>
      </c>
      <c r="N53" s="8">
        <v>772306796</v>
      </c>
      <c r="O53" s="88"/>
      <c r="P53" s="88"/>
      <c r="Q53" s="88"/>
    </row>
    <row r="54" spans="2:17" x14ac:dyDescent="0.25">
      <c r="B54" s="8"/>
      <c r="C54" s="8"/>
      <c r="D54" s="8"/>
      <c r="E54" s="8"/>
      <c r="F54" s="9"/>
      <c r="G54" s="9"/>
      <c r="H54" s="9"/>
      <c r="I54" s="8"/>
      <c r="J54" s="7"/>
      <c r="K54" s="20"/>
      <c r="L54" s="20"/>
      <c r="M54" s="9"/>
      <c r="N54" s="8"/>
      <c r="O54" s="88"/>
      <c r="P54" s="88"/>
      <c r="Q54" s="88"/>
    </row>
    <row r="55" spans="2:17" ht="30" x14ac:dyDescent="0.25">
      <c r="B55" s="7">
        <v>46201</v>
      </c>
      <c r="C55" s="20" t="s">
        <v>639</v>
      </c>
      <c r="D55" s="8" t="s">
        <v>123</v>
      </c>
      <c r="E55" s="8"/>
      <c r="F55" s="9"/>
      <c r="G55" s="9">
        <v>1200000</v>
      </c>
      <c r="H55" s="9"/>
      <c r="I55" s="8"/>
      <c r="J55" s="7">
        <v>46179</v>
      </c>
      <c r="K55" s="20" t="s">
        <v>232</v>
      </c>
      <c r="L55" s="20" t="s">
        <v>714</v>
      </c>
      <c r="M55" s="9">
        <v>300000</v>
      </c>
      <c r="N55" s="8">
        <v>779915273</v>
      </c>
      <c r="O55" s="88"/>
      <c r="P55" s="88"/>
      <c r="Q55" s="88"/>
    </row>
    <row r="56" spans="2:17" x14ac:dyDescent="0.25">
      <c r="B56" s="8"/>
      <c r="C56" s="8"/>
      <c r="D56" s="8"/>
      <c r="E56" s="8"/>
      <c r="F56" s="9"/>
      <c r="G56" s="9"/>
      <c r="H56" s="9"/>
      <c r="I56" s="8"/>
      <c r="J56" s="7"/>
      <c r="K56" s="20"/>
      <c r="L56" s="20"/>
      <c r="M56" s="9"/>
      <c r="N56" s="8"/>
      <c r="O56" s="88"/>
      <c r="P56" s="88"/>
      <c r="Q56" s="88"/>
    </row>
    <row r="57" spans="2:17" ht="30" x14ac:dyDescent="0.25">
      <c r="B57" s="7">
        <v>46201</v>
      </c>
      <c r="C57" s="20" t="s">
        <v>901</v>
      </c>
      <c r="D57" s="8" t="s">
        <v>902</v>
      </c>
      <c r="E57" s="8"/>
      <c r="F57" s="9"/>
      <c r="G57" s="9">
        <v>280000</v>
      </c>
      <c r="H57" s="9"/>
      <c r="I57" s="8"/>
      <c r="J57" s="7">
        <v>46179</v>
      </c>
      <c r="K57" s="20" t="s">
        <v>715</v>
      </c>
      <c r="L57" s="20" t="s">
        <v>719</v>
      </c>
      <c r="M57" s="9">
        <v>150000</v>
      </c>
      <c r="N57" s="8">
        <v>701918970</v>
      </c>
      <c r="O57" s="88"/>
      <c r="P57" s="88"/>
      <c r="Q57" s="88"/>
    </row>
    <row r="58" spans="2:17" x14ac:dyDescent="0.25">
      <c r="B58" s="8"/>
      <c r="C58" s="8"/>
      <c r="D58" s="8"/>
      <c r="E58" s="8"/>
      <c r="F58" s="9"/>
      <c r="G58" s="9"/>
      <c r="H58" s="9"/>
      <c r="I58" s="8"/>
      <c r="J58" s="7"/>
      <c r="K58" s="20"/>
      <c r="L58" s="20"/>
      <c r="M58" s="9"/>
      <c r="N58" s="8"/>
      <c r="O58" s="88"/>
      <c r="P58" s="88"/>
      <c r="Q58" s="88"/>
    </row>
    <row r="59" spans="2:17" ht="33" customHeight="1" x14ac:dyDescent="0.25">
      <c r="B59" s="7">
        <v>46202</v>
      </c>
      <c r="C59" s="8" t="s">
        <v>729</v>
      </c>
      <c r="D59" s="8" t="s">
        <v>123</v>
      </c>
      <c r="E59" s="8"/>
      <c r="F59" s="85" t="s">
        <v>910</v>
      </c>
      <c r="G59" s="9">
        <v>16890000</v>
      </c>
      <c r="H59" s="9"/>
      <c r="I59" s="8"/>
      <c r="J59" s="7">
        <v>46180</v>
      </c>
      <c r="K59" s="20" t="s">
        <v>140</v>
      </c>
      <c r="L59" s="20" t="s">
        <v>716</v>
      </c>
      <c r="M59" s="9">
        <v>30000</v>
      </c>
      <c r="N59" s="8" t="s">
        <v>13</v>
      </c>
      <c r="O59" s="88"/>
      <c r="P59" s="88"/>
      <c r="Q59" s="88"/>
    </row>
    <row r="60" spans="2:17" x14ac:dyDescent="0.25">
      <c r="B60" s="8"/>
      <c r="C60" s="8"/>
      <c r="D60" s="8"/>
      <c r="E60" s="8"/>
      <c r="F60" s="9"/>
      <c r="G60" s="9"/>
      <c r="H60" s="9"/>
      <c r="I60" s="8"/>
      <c r="J60" s="7"/>
      <c r="K60" s="20"/>
      <c r="L60" s="20"/>
      <c r="M60" s="9"/>
      <c r="N60" s="8"/>
      <c r="O60" s="88"/>
      <c r="P60" s="88"/>
      <c r="Q60" s="88"/>
    </row>
    <row r="61" spans="2:17" x14ac:dyDescent="0.25">
      <c r="B61" s="8"/>
      <c r="C61" s="8"/>
      <c r="D61" s="8"/>
      <c r="E61" s="8"/>
      <c r="F61" s="9"/>
      <c r="G61" s="9"/>
      <c r="H61" s="9"/>
      <c r="I61" s="8"/>
      <c r="J61" s="7">
        <v>46180</v>
      </c>
      <c r="K61" s="20" t="s">
        <v>717</v>
      </c>
      <c r="L61" t="s">
        <v>718</v>
      </c>
      <c r="M61" s="9">
        <v>26000</v>
      </c>
      <c r="N61" s="8"/>
      <c r="O61" s="88"/>
      <c r="P61" s="88"/>
      <c r="Q61" s="88"/>
    </row>
    <row r="62" spans="2:17" x14ac:dyDescent="0.25">
      <c r="B62" s="8"/>
      <c r="C62" s="8"/>
      <c r="D62" s="8"/>
      <c r="E62" s="8"/>
      <c r="F62" s="9"/>
      <c r="G62" s="9"/>
      <c r="H62" s="9"/>
      <c r="I62" s="8"/>
      <c r="J62" s="7"/>
      <c r="K62" s="20"/>
      <c r="L62" s="20"/>
      <c r="M62" s="9"/>
      <c r="N62" s="8"/>
      <c r="O62" s="88"/>
      <c r="P62" s="88"/>
      <c r="Q62" s="88"/>
    </row>
    <row r="63" spans="2:17" x14ac:dyDescent="0.25">
      <c r="B63" s="8"/>
      <c r="C63" s="8"/>
      <c r="D63" s="8"/>
      <c r="E63" s="8"/>
      <c r="F63" s="9"/>
      <c r="G63" s="9"/>
      <c r="H63" s="9"/>
      <c r="I63" s="8"/>
      <c r="J63" s="7">
        <v>46180</v>
      </c>
      <c r="K63" s="20" t="s">
        <v>721</v>
      </c>
      <c r="L63" s="20" t="s">
        <v>178</v>
      </c>
      <c r="M63" s="9">
        <v>100000</v>
      </c>
      <c r="N63" s="8">
        <v>701918970</v>
      </c>
      <c r="O63" s="88"/>
      <c r="P63" s="88"/>
      <c r="Q63" s="88"/>
    </row>
    <row r="64" spans="2:17" x14ac:dyDescent="0.25">
      <c r="B64" s="8"/>
      <c r="C64" s="8"/>
      <c r="D64" s="8"/>
      <c r="E64" s="8"/>
      <c r="F64" s="9"/>
      <c r="G64" s="9"/>
      <c r="H64" s="9"/>
      <c r="I64" s="8"/>
      <c r="J64" s="7"/>
      <c r="K64" s="20"/>
      <c r="L64" s="20"/>
      <c r="M64" s="9"/>
      <c r="N64" s="8"/>
      <c r="O64" s="88"/>
      <c r="P64" s="88"/>
      <c r="Q64" s="88"/>
    </row>
    <row r="65" spans="2:17" ht="30" x14ac:dyDescent="0.25">
      <c r="B65" s="8"/>
      <c r="C65" s="8"/>
      <c r="D65" s="8"/>
      <c r="E65" s="8"/>
      <c r="F65" s="9"/>
      <c r="G65" s="9"/>
      <c r="H65" s="9"/>
      <c r="I65" s="8"/>
      <c r="J65" s="7">
        <v>46180</v>
      </c>
      <c r="K65" s="20" t="s">
        <v>723</v>
      </c>
      <c r="L65" s="20" t="s">
        <v>722</v>
      </c>
      <c r="M65" s="9">
        <v>100000</v>
      </c>
      <c r="N65" s="8">
        <v>706685127</v>
      </c>
      <c r="O65" s="88"/>
      <c r="P65" s="88"/>
      <c r="Q65" s="88"/>
    </row>
    <row r="66" spans="2:17" x14ac:dyDescent="0.25">
      <c r="B66" s="8"/>
      <c r="C66" s="8"/>
      <c r="D66" s="8"/>
      <c r="E66" s="8"/>
      <c r="F66" s="9"/>
      <c r="G66" s="9"/>
      <c r="H66" s="9"/>
      <c r="I66" s="8"/>
      <c r="J66" s="7"/>
      <c r="K66" s="20"/>
      <c r="L66" s="20"/>
      <c r="M66" s="9"/>
      <c r="N66" s="8"/>
      <c r="O66" s="88"/>
      <c r="P66" s="88"/>
      <c r="Q66" s="88"/>
    </row>
    <row r="67" spans="2:17" x14ac:dyDescent="0.25">
      <c r="B67" s="8"/>
      <c r="C67" s="8"/>
      <c r="D67" s="8"/>
      <c r="E67" s="8"/>
      <c r="F67" s="9"/>
      <c r="G67" s="9"/>
      <c r="H67" s="9"/>
      <c r="I67" s="8"/>
      <c r="J67" s="7">
        <v>46181</v>
      </c>
      <c r="K67" s="20" t="s">
        <v>726</v>
      </c>
      <c r="L67" s="20" t="s">
        <v>724</v>
      </c>
      <c r="M67" s="9">
        <v>400000</v>
      </c>
      <c r="N67" s="8">
        <v>751682671</v>
      </c>
      <c r="O67" s="88"/>
      <c r="P67" s="88"/>
      <c r="Q67" s="88"/>
    </row>
    <row r="68" spans="2:17" x14ac:dyDescent="0.25">
      <c r="B68" s="8"/>
      <c r="C68" s="8"/>
      <c r="D68" s="8"/>
      <c r="E68" s="8"/>
      <c r="F68" s="9"/>
      <c r="G68" s="9"/>
      <c r="H68" s="9"/>
      <c r="I68" s="8"/>
      <c r="J68" s="7">
        <v>46181</v>
      </c>
      <c r="K68" s="20" t="s">
        <v>24</v>
      </c>
      <c r="L68" s="20" t="s">
        <v>725</v>
      </c>
      <c r="M68" s="9">
        <v>600000</v>
      </c>
      <c r="N68" s="8">
        <v>700742461</v>
      </c>
      <c r="O68" s="88"/>
      <c r="P68" s="88"/>
      <c r="Q68" s="88"/>
    </row>
    <row r="69" spans="2:17" x14ac:dyDescent="0.25">
      <c r="B69" s="8"/>
      <c r="C69" s="8"/>
      <c r="D69" s="8"/>
      <c r="E69" s="8"/>
      <c r="F69" s="9"/>
      <c r="G69" s="9"/>
      <c r="H69" s="9"/>
      <c r="I69" s="8"/>
      <c r="J69" s="7"/>
      <c r="K69" s="20"/>
      <c r="L69" s="20"/>
      <c r="M69" s="9"/>
      <c r="N69" s="8"/>
      <c r="O69" s="88"/>
      <c r="P69" s="88"/>
      <c r="Q69" s="88"/>
    </row>
    <row r="70" spans="2:17" x14ac:dyDescent="0.25">
      <c r="B70" s="8"/>
      <c r="C70" s="8"/>
      <c r="D70" s="8"/>
      <c r="E70" s="8"/>
      <c r="F70" s="9"/>
      <c r="G70" s="9"/>
      <c r="H70" s="9"/>
      <c r="I70" s="8"/>
      <c r="J70" s="7">
        <v>46181</v>
      </c>
      <c r="K70" s="20" t="s">
        <v>630</v>
      </c>
      <c r="L70" s="20" t="s">
        <v>728</v>
      </c>
      <c r="M70" s="9">
        <v>190000</v>
      </c>
      <c r="N70" s="8">
        <v>771452920</v>
      </c>
      <c r="O70" s="88"/>
      <c r="P70" s="88"/>
      <c r="Q70" s="88"/>
    </row>
    <row r="71" spans="2:17" s="91" customFormat="1" x14ac:dyDescent="0.25">
      <c r="B71" s="8"/>
      <c r="C71" s="8"/>
      <c r="D71" s="8"/>
      <c r="E71" s="8"/>
      <c r="F71" s="9"/>
      <c r="G71" s="9"/>
      <c r="H71" s="9"/>
      <c r="I71" s="8"/>
      <c r="J71" s="7"/>
      <c r="K71" s="20"/>
      <c r="L71" s="20"/>
      <c r="M71" s="9"/>
      <c r="N71" s="8"/>
    </row>
    <row r="72" spans="2:17" s="91" customFormat="1" x14ac:dyDescent="0.25">
      <c r="B72" s="8"/>
      <c r="C72" s="8"/>
      <c r="D72" s="8"/>
      <c r="E72" s="8"/>
      <c r="F72" s="9"/>
      <c r="G72" s="9"/>
      <c r="H72" s="9"/>
      <c r="I72" s="8"/>
      <c r="J72" s="7">
        <v>46178</v>
      </c>
      <c r="K72" s="20" t="s">
        <v>734</v>
      </c>
      <c r="L72" s="20" t="s">
        <v>733</v>
      </c>
      <c r="M72" s="9">
        <v>5000000</v>
      </c>
      <c r="N72" s="8">
        <v>787556282</v>
      </c>
    </row>
    <row r="73" spans="2:17" s="91" customFormat="1" ht="14.25" customHeight="1" x14ac:dyDescent="0.25">
      <c r="B73" s="8"/>
      <c r="C73" s="8"/>
      <c r="D73" s="8"/>
      <c r="E73" s="8"/>
      <c r="F73" s="9"/>
      <c r="G73" s="9"/>
      <c r="H73" s="9"/>
      <c r="I73" s="8"/>
      <c r="J73" s="7">
        <v>46181</v>
      </c>
      <c r="K73" s="20" t="s">
        <v>24</v>
      </c>
      <c r="L73" s="20" t="s">
        <v>850</v>
      </c>
      <c r="M73" s="9">
        <v>4500000</v>
      </c>
      <c r="N73" s="8" t="s">
        <v>13</v>
      </c>
    </row>
    <row r="74" spans="2:17" x14ac:dyDescent="0.25">
      <c r="B74" s="8"/>
      <c r="C74" s="8"/>
      <c r="D74" s="8"/>
      <c r="E74" s="8"/>
      <c r="F74" s="9"/>
      <c r="G74" s="9"/>
      <c r="H74" s="9"/>
      <c r="I74" s="8"/>
      <c r="J74" s="7"/>
      <c r="K74" s="20"/>
      <c r="L74" s="20"/>
      <c r="M74" s="9"/>
      <c r="N74" s="8"/>
      <c r="O74" s="88"/>
      <c r="P74" s="88"/>
      <c r="Q74" s="88"/>
    </row>
    <row r="75" spans="2:17" x14ac:dyDescent="0.25">
      <c r="B75" s="8"/>
      <c r="C75" s="8"/>
      <c r="D75" s="8"/>
      <c r="E75" s="8"/>
      <c r="F75" s="9"/>
      <c r="G75" s="9"/>
      <c r="H75" s="9"/>
      <c r="I75" s="8"/>
      <c r="J75" s="7">
        <v>46181</v>
      </c>
      <c r="K75" s="20" t="s">
        <v>742</v>
      </c>
      <c r="L75" s="20" t="s">
        <v>732</v>
      </c>
      <c r="M75" s="9">
        <v>82000</v>
      </c>
      <c r="N75" s="8">
        <v>701918970</v>
      </c>
      <c r="O75" s="88"/>
      <c r="P75" s="88"/>
      <c r="Q75" s="88"/>
    </row>
    <row r="76" spans="2:17" ht="30" x14ac:dyDescent="0.25">
      <c r="B76" s="8"/>
      <c r="C76" s="8"/>
      <c r="D76" s="8"/>
      <c r="E76" s="8"/>
      <c r="F76" s="9"/>
      <c r="G76" s="9"/>
      <c r="H76" s="9"/>
      <c r="I76" s="8"/>
      <c r="J76" s="7">
        <v>46181</v>
      </c>
      <c r="K76" s="20" t="s">
        <v>743</v>
      </c>
      <c r="L76" s="20" t="s">
        <v>851</v>
      </c>
      <c r="M76" s="9">
        <v>179200</v>
      </c>
      <c r="N76" s="20"/>
      <c r="O76" s="88"/>
      <c r="P76" s="88"/>
      <c r="Q76" s="88"/>
    </row>
    <row r="77" spans="2:17" s="92" customFormat="1" x14ac:dyDescent="0.25">
      <c r="B77" s="8"/>
      <c r="C77" s="8"/>
      <c r="D77" s="8"/>
      <c r="E77" s="8"/>
      <c r="F77" s="9"/>
      <c r="G77" s="9"/>
      <c r="H77" s="9"/>
      <c r="I77" s="8"/>
      <c r="J77" s="7"/>
      <c r="K77" s="20"/>
      <c r="L77" s="20"/>
      <c r="M77" s="9"/>
      <c r="N77" s="20"/>
    </row>
    <row r="78" spans="2:17" x14ac:dyDescent="0.25">
      <c r="B78" s="8"/>
      <c r="C78" s="8"/>
      <c r="D78" s="8"/>
      <c r="E78" s="8"/>
      <c r="F78" s="9"/>
      <c r="G78" s="9"/>
      <c r="H78" s="9"/>
      <c r="I78" s="8"/>
      <c r="J78" s="7">
        <v>46181</v>
      </c>
      <c r="K78" s="20" t="s">
        <v>271</v>
      </c>
      <c r="L78" s="20" t="s">
        <v>744</v>
      </c>
      <c r="M78" s="9">
        <v>250000</v>
      </c>
      <c r="N78" s="8">
        <v>768806997</v>
      </c>
      <c r="O78" s="88"/>
      <c r="P78" s="88"/>
      <c r="Q78" s="88"/>
    </row>
    <row r="79" spans="2:17" s="92" customFormat="1" x14ac:dyDescent="0.25">
      <c r="B79" s="8"/>
      <c r="C79" s="8"/>
      <c r="D79" s="8"/>
      <c r="E79" s="8"/>
      <c r="F79" s="9"/>
      <c r="G79" s="9"/>
      <c r="H79" s="9"/>
      <c r="I79" s="8"/>
      <c r="J79" s="7"/>
      <c r="K79" s="20"/>
      <c r="L79" s="20"/>
      <c r="M79" s="9"/>
      <c r="N79" s="8"/>
    </row>
    <row r="80" spans="2:17" x14ac:dyDescent="0.25">
      <c r="B80" s="8"/>
      <c r="C80" s="8"/>
      <c r="D80" s="8"/>
      <c r="E80" s="8"/>
      <c r="F80" s="9"/>
      <c r="G80" s="9"/>
      <c r="H80" s="9"/>
      <c r="I80" s="8"/>
      <c r="J80" s="7">
        <v>46182</v>
      </c>
      <c r="K80" s="20" t="s">
        <v>741</v>
      </c>
      <c r="L80" s="20" t="s">
        <v>740</v>
      </c>
      <c r="M80" s="9">
        <v>1200000</v>
      </c>
      <c r="N80" s="8">
        <v>702523750</v>
      </c>
      <c r="O80" s="88"/>
      <c r="P80" s="88"/>
      <c r="Q80" s="88"/>
    </row>
    <row r="81" spans="2:17" s="92" customFormat="1" x14ac:dyDescent="0.25">
      <c r="B81" s="8"/>
      <c r="C81" s="8"/>
      <c r="D81" s="8"/>
      <c r="E81" s="8"/>
      <c r="F81" s="9"/>
      <c r="G81" s="9"/>
      <c r="H81" s="9"/>
      <c r="I81" s="8"/>
      <c r="J81" s="7"/>
      <c r="K81" s="20"/>
      <c r="L81" s="20"/>
      <c r="M81" s="9"/>
      <c r="N81" s="8"/>
    </row>
    <row r="82" spans="2:17" ht="30" x14ac:dyDescent="0.25">
      <c r="B82" s="8"/>
      <c r="C82" s="8"/>
      <c r="D82" s="8"/>
      <c r="E82" s="8"/>
      <c r="F82" s="9"/>
      <c r="G82" s="9"/>
      <c r="H82" s="9"/>
      <c r="I82" s="8"/>
      <c r="J82" s="7">
        <v>46182</v>
      </c>
      <c r="K82" s="20" t="s">
        <v>735</v>
      </c>
      <c r="L82" s="20" t="s">
        <v>730</v>
      </c>
      <c r="M82" s="9">
        <v>90000</v>
      </c>
      <c r="N82" s="8">
        <v>779915273</v>
      </c>
      <c r="O82" s="88"/>
      <c r="P82" s="88"/>
      <c r="Q82" s="88"/>
    </row>
    <row r="83" spans="2:17" ht="30" x14ac:dyDescent="0.25">
      <c r="B83" s="8"/>
      <c r="C83" s="8"/>
      <c r="D83" s="8"/>
      <c r="E83" s="8"/>
      <c r="F83" s="9"/>
      <c r="G83" s="9"/>
      <c r="H83" s="9"/>
      <c r="I83" s="8"/>
      <c r="J83" s="7">
        <v>46182</v>
      </c>
      <c r="K83" s="20" t="s">
        <v>140</v>
      </c>
      <c r="L83" s="20" t="s">
        <v>731</v>
      </c>
      <c r="M83" s="9">
        <v>5000</v>
      </c>
      <c r="N83" s="8" t="s">
        <v>29</v>
      </c>
      <c r="O83" s="88"/>
      <c r="P83" s="88"/>
      <c r="Q83" s="88"/>
    </row>
    <row r="84" spans="2:17" s="93" customFormat="1" x14ac:dyDescent="0.25">
      <c r="B84" s="8"/>
      <c r="C84" s="8"/>
      <c r="D84" s="8"/>
      <c r="E84" s="8"/>
      <c r="F84" s="9"/>
      <c r="G84" s="9"/>
      <c r="H84" s="9"/>
      <c r="I84" s="8"/>
      <c r="J84" s="7"/>
      <c r="K84" s="20"/>
      <c r="L84" s="20"/>
      <c r="M84" s="9"/>
      <c r="N84" s="8"/>
    </row>
    <row r="85" spans="2:17" s="93" customFormat="1" x14ac:dyDescent="0.25">
      <c r="B85" s="8"/>
      <c r="C85" s="8"/>
      <c r="D85" s="8"/>
      <c r="E85" s="8"/>
      <c r="F85" s="9"/>
      <c r="G85" s="9"/>
      <c r="H85" s="9"/>
      <c r="I85" s="8"/>
      <c r="J85" s="7">
        <v>46182</v>
      </c>
      <c r="K85" s="20" t="s">
        <v>737</v>
      </c>
      <c r="L85" s="20" t="s">
        <v>736</v>
      </c>
      <c r="M85" s="9">
        <v>4026000</v>
      </c>
      <c r="N85" s="8">
        <v>774112810</v>
      </c>
    </row>
    <row r="86" spans="2:17" s="93" customFormat="1" x14ac:dyDescent="0.25">
      <c r="B86" s="8"/>
      <c r="C86" s="8"/>
      <c r="D86" s="8"/>
      <c r="E86" s="8"/>
      <c r="F86" s="9"/>
      <c r="G86" s="9"/>
      <c r="H86" s="9"/>
      <c r="I86" s="8"/>
      <c r="J86" s="7"/>
      <c r="K86" s="20"/>
      <c r="L86" s="20"/>
      <c r="M86" s="9"/>
      <c r="N86" s="8"/>
    </row>
    <row r="87" spans="2:17" x14ac:dyDescent="0.25">
      <c r="B87" s="8"/>
      <c r="C87" s="8"/>
      <c r="D87" s="8"/>
      <c r="E87" s="8"/>
      <c r="F87" s="9"/>
      <c r="G87" s="9"/>
      <c r="H87" s="9"/>
      <c r="I87" s="8"/>
      <c r="J87" s="7">
        <v>46182</v>
      </c>
      <c r="K87" s="20" t="s">
        <v>24</v>
      </c>
      <c r="L87" s="20" t="s">
        <v>738</v>
      </c>
      <c r="M87" s="9">
        <v>450000</v>
      </c>
      <c r="N87" s="8">
        <v>700742461</v>
      </c>
      <c r="O87" s="88"/>
      <c r="P87" s="88"/>
      <c r="Q87" s="88"/>
    </row>
    <row r="88" spans="2:17" ht="30" x14ac:dyDescent="0.25">
      <c r="B88" s="8"/>
      <c r="C88" s="8"/>
      <c r="D88" s="8"/>
      <c r="E88" s="8"/>
      <c r="F88" s="9"/>
      <c r="G88" s="9"/>
      <c r="H88" s="9"/>
      <c r="I88" s="8"/>
      <c r="J88" s="7">
        <v>46182</v>
      </c>
      <c r="K88" s="20" t="s">
        <v>532</v>
      </c>
      <c r="L88" s="20" t="s">
        <v>739</v>
      </c>
      <c r="M88" s="9">
        <v>410000</v>
      </c>
      <c r="N88" s="8">
        <v>779300549</v>
      </c>
      <c r="O88" s="88"/>
      <c r="P88" s="88"/>
      <c r="Q88" s="88"/>
    </row>
    <row r="89" spans="2:17" s="93" customFormat="1" x14ac:dyDescent="0.25">
      <c r="B89" s="8"/>
      <c r="C89" s="8"/>
      <c r="D89" s="8"/>
      <c r="E89" s="8"/>
      <c r="F89" s="9"/>
      <c r="G89" s="9"/>
      <c r="H89" s="9"/>
      <c r="I89" s="8"/>
      <c r="J89" s="7"/>
      <c r="K89" s="20"/>
      <c r="L89" s="20"/>
      <c r="M89" s="9"/>
      <c r="N89" s="8"/>
    </row>
    <row r="90" spans="2:17" s="93" customFormat="1" x14ac:dyDescent="0.25">
      <c r="B90" s="8"/>
      <c r="C90" s="8"/>
      <c r="D90" s="8"/>
      <c r="E90" s="8"/>
      <c r="F90" s="9"/>
      <c r="G90" s="9"/>
      <c r="H90" s="9"/>
      <c r="I90" s="8"/>
      <c r="J90" s="7">
        <v>46182</v>
      </c>
      <c r="K90" s="20" t="s">
        <v>747</v>
      </c>
      <c r="L90" s="20" t="s">
        <v>746</v>
      </c>
      <c r="M90" s="9">
        <v>6000</v>
      </c>
      <c r="N90" s="8" t="s">
        <v>29</v>
      </c>
    </row>
    <row r="91" spans="2:17" s="93" customFormat="1" x14ac:dyDescent="0.25">
      <c r="B91" s="8"/>
      <c r="C91" s="8"/>
      <c r="D91" s="8"/>
      <c r="E91" s="8"/>
      <c r="F91" s="9"/>
      <c r="G91" s="9"/>
      <c r="H91" s="9"/>
      <c r="I91" s="8"/>
      <c r="J91" s="7"/>
      <c r="K91" s="20"/>
      <c r="L91" s="20"/>
      <c r="M91" s="9"/>
      <c r="N91" s="8"/>
    </row>
    <row r="92" spans="2:17" s="93" customFormat="1" x14ac:dyDescent="0.25">
      <c r="B92" s="8"/>
      <c r="C92" s="8"/>
      <c r="D92" s="8"/>
      <c r="E92" s="8"/>
      <c r="F92" s="9"/>
      <c r="G92" s="9"/>
      <c r="H92" s="9"/>
      <c r="I92" s="8"/>
      <c r="J92" s="7">
        <v>46183</v>
      </c>
      <c r="K92" s="20" t="s">
        <v>748</v>
      </c>
      <c r="L92" s="20" t="s">
        <v>749</v>
      </c>
      <c r="M92" s="9">
        <v>3000000</v>
      </c>
      <c r="N92" s="8">
        <v>751682671</v>
      </c>
    </row>
    <row r="93" spans="2:17" s="94" customFormat="1" x14ac:dyDescent="0.25">
      <c r="B93" s="8"/>
      <c r="C93" s="8"/>
      <c r="D93" s="8"/>
      <c r="E93" s="8"/>
      <c r="F93" s="9"/>
      <c r="G93" s="9"/>
      <c r="H93" s="9"/>
      <c r="I93" s="8"/>
      <c r="J93" s="7"/>
      <c r="K93" s="20"/>
      <c r="L93" s="20"/>
      <c r="M93" s="9"/>
      <c r="N93" s="8"/>
    </row>
    <row r="94" spans="2:17" s="94" customFormat="1" ht="30" x14ac:dyDescent="0.25">
      <c r="B94" s="8"/>
      <c r="C94" s="8"/>
      <c r="D94" s="8"/>
      <c r="E94" s="8"/>
      <c r="F94" s="9"/>
      <c r="G94" s="9"/>
      <c r="H94" s="9"/>
      <c r="I94" s="8"/>
      <c r="J94" s="7">
        <v>46183</v>
      </c>
      <c r="K94" s="20" t="s">
        <v>750</v>
      </c>
      <c r="L94" s="20" t="s">
        <v>751</v>
      </c>
      <c r="M94" s="9">
        <v>500000</v>
      </c>
      <c r="N94" s="8">
        <v>757069336</v>
      </c>
    </row>
    <row r="95" spans="2:17" s="94" customFormat="1" x14ac:dyDescent="0.25">
      <c r="B95" s="8"/>
      <c r="C95" s="8"/>
      <c r="D95" s="8"/>
      <c r="E95" s="8"/>
      <c r="F95" s="9"/>
      <c r="G95" s="9"/>
      <c r="H95" s="9"/>
      <c r="I95" s="8"/>
      <c r="J95" s="7"/>
      <c r="K95" s="20"/>
      <c r="L95" s="20"/>
      <c r="M95" s="9"/>
      <c r="N95" s="8"/>
    </row>
    <row r="96" spans="2:17" s="94" customFormat="1" x14ac:dyDescent="0.25">
      <c r="B96" s="8"/>
      <c r="C96" s="8"/>
      <c r="D96" s="8"/>
      <c r="E96" s="8"/>
      <c r="F96" s="9"/>
      <c r="G96" s="9"/>
      <c r="H96" s="9"/>
      <c r="I96" s="8"/>
      <c r="J96" s="7">
        <v>46183</v>
      </c>
      <c r="K96" s="20" t="s">
        <v>758</v>
      </c>
      <c r="L96" s="20" t="s">
        <v>759</v>
      </c>
      <c r="M96" s="9">
        <v>210000</v>
      </c>
      <c r="N96" s="8" t="s">
        <v>13</v>
      </c>
    </row>
    <row r="97" spans="2:14" s="94" customFormat="1" ht="10.5" customHeight="1" x14ac:dyDescent="0.25">
      <c r="B97" s="8"/>
      <c r="C97" s="8"/>
      <c r="D97" s="8"/>
      <c r="E97" s="8"/>
      <c r="F97" s="9"/>
      <c r="G97" s="9"/>
      <c r="H97" s="9"/>
      <c r="I97" s="8"/>
      <c r="J97" s="7"/>
      <c r="K97" s="20"/>
      <c r="L97" s="20"/>
      <c r="M97" s="9"/>
      <c r="N97" s="8"/>
    </row>
    <row r="98" spans="2:14" s="94" customFormat="1" ht="29.25" customHeight="1" x14ac:dyDescent="0.25">
      <c r="B98" s="8"/>
      <c r="C98" s="8"/>
      <c r="D98" s="8"/>
      <c r="E98" s="8"/>
      <c r="F98" s="9"/>
      <c r="G98" s="9"/>
      <c r="H98" s="9"/>
      <c r="I98" s="8"/>
      <c r="J98" s="7">
        <v>46184</v>
      </c>
      <c r="K98" s="20" t="s">
        <v>752</v>
      </c>
      <c r="L98" s="96" t="s">
        <v>780</v>
      </c>
      <c r="M98" s="9">
        <v>3000000</v>
      </c>
      <c r="N98" s="8">
        <v>781240409</v>
      </c>
    </row>
    <row r="99" spans="2:14" s="94" customFormat="1" x14ac:dyDescent="0.25">
      <c r="B99" s="8"/>
      <c r="C99" s="8"/>
      <c r="D99" s="8"/>
      <c r="E99" s="8"/>
      <c r="F99" s="9"/>
      <c r="G99" s="9"/>
      <c r="H99" s="9"/>
      <c r="I99" s="8"/>
      <c r="J99" s="7"/>
      <c r="K99" s="20"/>
      <c r="L99" s="20"/>
      <c r="M99" s="9"/>
      <c r="N99" s="8"/>
    </row>
    <row r="100" spans="2:14" s="94" customFormat="1" ht="30" x14ac:dyDescent="0.25">
      <c r="B100" s="8"/>
      <c r="C100" s="8"/>
      <c r="D100" s="8"/>
      <c r="E100" s="8"/>
      <c r="F100" s="9"/>
      <c r="G100" s="9"/>
      <c r="H100" s="9"/>
      <c r="I100" s="8"/>
      <c r="J100" s="7">
        <v>46184</v>
      </c>
      <c r="K100" s="20" t="s">
        <v>753</v>
      </c>
      <c r="L100" s="20" t="s">
        <v>754</v>
      </c>
      <c r="M100" s="9">
        <v>1000000</v>
      </c>
      <c r="N100" s="8">
        <v>751682671</v>
      </c>
    </row>
    <row r="101" spans="2:14" s="94" customFormat="1" x14ac:dyDescent="0.25">
      <c r="B101" s="8"/>
      <c r="C101" s="8"/>
      <c r="D101" s="8"/>
      <c r="E101" s="8"/>
      <c r="F101" s="9"/>
      <c r="G101" s="9"/>
      <c r="H101" s="9"/>
      <c r="I101" s="8"/>
      <c r="J101" s="7"/>
      <c r="K101" s="20"/>
      <c r="L101" s="20"/>
      <c r="M101" s="9"/>
      <c r="N101" s="8"/>
    </row>
    <row r="102" spans="2:14" s="93" customFormat="1" ht="30" x14ac:dyDescent="0.25">
      <c r="B102" s="8"/>
      <c r="C102" s="8"/>
      <c r="D102" s="8"/>
      <c r="E102" s="8"/>
      <c r="F102" s="9"/>
      <c r="G102" s="9"/>
      <c r="H102" s="9"/>
      <c r="I102" s="8"/>
      <c r="J102" s="7">
        <v>46184</v>
      </c>
      <c r="K102" s="20" t="s">
        <v>756</v>
      </c>
      <c r="L102" s="20" t="s">
        <v>755</v>
      </c>
      <c r="M102" s="9">
        <v>31000</v>
      </c>
      <c r="N102" s="8">
        <v>746434196</v>
      </c>
    </row>
    <row r="103" spans="2:14" s="95" customFormat="1" x14ac:dyDescent="0.25">
      <c r="B103" s="8"/>
      <c r="C103" s="8"/>
      <c r="D103" s="8"/>
      <c r="E103" s="8"/>
      <c r="F103" s="9"/>
      <c r="G103" s="9"/>
      <c r="H103" s="9"/>
      <c r="I103" s="8"/>
      <c r="J103" s="7"/>
      <c r="K103" s="20"/>
      <c r="L103" s="20"/>
      <c r="M103" s="9"/>
      <c r="N103" s="8"/>
    </row>
    <row r="104" spans="2:14" s="95" customFormat="1" ht="30" x14ac:dyDescent="0.25">
      <c r="B104" s="8"/>
      <c r="C104" s="8"/>
      <c r="D104" s="8"/>
      <c r="E104" s="8"/>
      <c r="F104" s="9"/>
      <c r="G104" s="9"/>
      <c r="H104" s="9"/>
      <c r="I104" s="8"/>
      <c r="J104" s="7">
        <v>46184</v>
      </c>
      <c r="K104" s="20" t="s">
        <v>761</v>
      </c>
      <c r="L104" s="20" t="s">
        <v>760</v>
      </c>
      <c r="M104" s="9">
        <v>300000</v>
      </c>
      <c r="N104" s="8">
        <v>777868504</v>
      </c>
    </row>
    <row r="105" spans="2:14" s="97" customFormat="1" x14ac:dyDescent="0.25">
      <c r="B105" s="8"/>
      <c r="C105" s="8"/>
      <c r="D105" s="8"/>
      <c r="E105" s="8"/>
      <c r="F105" s="9"/>
      <c r="G105" s="9"/>
      <c r="H105" s="9"/>
      <c r="I105" s="8"/>
      <c r="J105" s="7"/>
      <c r="K105" s="20"/>
      <c r="L105" s="20"/>
      <c r="M105" s="9"/>
      <c r="N105" s="8"/>
    </row>
    <row r="106" spans="2:14" s="97" customFormat="1" ht="30" x14ac:dyDescent="0.25">
      <c r="B106" s="8"/>
      <c r="C106" s="8"/>
      <c r="D106" s="8"/>
      <c r="E106" s="8"/>
      <c r="F106" s="9"/>
      <c r="G106" s="9"/>
      <c r="H106" s="9"/>
      <c r="I106" s="8"/>
      <c r="J106" s="7">
        <v>46184</v>
      </c>
      <c r="K106" s="20" t="s">
        <v>762</v>
      </c>
      <c r="L106" s="20" t="s">
        <v>763</v>
      </c>
      <c r="M106" s="9">
        <v>50000</v>
      </c>
      <c r="N106" s="8" t="s">
        <v>13</v>
      </c>
    </row>
    <row r="107" spans="2:14" s="97" customFormat="1" x14ac:dyDescent="0.25">
      <c r="B107" s="8"/>
      <c r="C107" s="8"/>
      <c r="D107" s="8"/>
      <c r="E107" s="8"/>
      <c r="F107" s="9"/>
      <c r="G107" s="9"/>
      <c r="H107" s="9"/>
      <c r="I107" s="8"/>
      <c r="J107" s="7"/>
      <c r="K107" s="20"/>
      <c r="L107" s="20"/>
      <c r="M107" s="9"/>
      <c r="N107" s="8"/>
    </row>
    <row r="108" spans="2:14" s="97" customFormat="1" x14ac:dyDescent="0.25">
      <c r="B108" s="8"/>
      <c r="C108" s="8"/>
      <c r="D108" s="8"/>
      <c r="E108" s="8"/>
      <c r="F108" s="9"/>
      <c r="G108" s="9"/>
      <c r="H108" s="9"/>
      <c r="I108" s="8"/>
      <c r="J108" s="7">
        <v>46184</v>
      </c>
      <c r="K108" s="20" t="s">
        <v>532</v>
      </c>
      <c r="L108" s="20" t="s">
        <v>764</v>
      </c>
      <c r="M108" s="9">
        <v>77000</v>
      </c>
      <c r="N108" s="8" t="s">
        <v>13</v>
      </c>
    </row>
    <row r="109" spans="2:14" s="98" customFormat="1" x14ac:dyDescent="0.25">
      <c r="B109" s="8"/>
      <c r="C109" s="8"/>
      <c r="D109" s="8"/>
      <c r="E109" s="8"/>
      <c r="F109" s="9"/>
      <c r="G109" s="9"/>
      <c r="H109" s="9"/>
      <c r="I109" s="8"/>
      <c r="J109" s="7"/>
      <c r="K109" s="20"/>
      <c r="L109" s="20"/>
      <c r="M109" s="9"/>
      <c r="N109" s="8"/>
    </row>
    <row r="110" spans="2:14" s="98" customFormat="1" x14ac:dyDescent="0.25">
      <c r="B110" s="8"/>
      <c r="C110" s="8"/>
      <c r="D110" s="8"/>
      <c r="E110" s="8"/>
      <c r="F110" s="9"/>
      <c r="G110" s="9"/>
      <c r="H110" s="9"/>
      <c r="I110" s="8"/>
      <c r="J110" s="7">
        <v>46185</v>
      </c>
      <c r="K110" s="20" t="s">
        <v>771</v>
      </c>
      <c r="L110" s="20" t="s">
        <v>103</v>
      </c>
      <c r="M110" s="9">
        <v>68000</v>
      </c>
      <c r="N110" s="8" t="s">
        <v>569</v>
      </c>
    </row>
    <row r="111" spans="2:14" s="97" customFormat="1" x14ac:dyDescent="0.25">
      <c r="B111" s="8"/>
      <c r="C111" s="8"/>
      <c r="D111" s="8"/>
      <c r="E111" s="8"/>
      <c r="F111" s="9"/>
      <c r="G111" s="9"/>
      <c r="H111" s="9"/>
      <c r="I111" s="8"/>
      <c r="J111" s="7"/>
      <c r="K111" s="20"/>
      <c r="L111" s="20"/>
      <c r="M111" s="9"/>
      <c r="N111" s="8"/>
    </row>
    <row r="112" spans="2:14" s="97" customFormat="1" ht="30" x14ac:dyDescent="0.25">
      <c r="B112" s="8"/>
      <c r="C112" s="8"/>
      <c r="D112" s="8"/>
      <c r="E112" s="8"/>
      <c r="F112" s="9"/>
      <c r="G112" s="9"/>
      <c r="H112" s="9"/>
      <c r="I112" s="8"/>
      <c r="J112" s="7">
        <v>46185</v>
      </c>
      <c r="K112" s="20" t="s">
        <v>768</v>
      </c>
      <c r="L112" s="20" t="s">
        <v>767</v>
      </c>
      <c r="M112" s="9">
        <v>830000</v>
      </c>
      <c r="N112" s="8">
        <v>700742461</v>
      </c>
    </row>
    <row r="113" spans="2:14" s="95" customFormat="1" x14ac:dyDescent="0.25">
      <c r="B113" s="8"/>
      <c r="C113" s="8"/>
      <c r="D113" s="8"/>
      <c r="E113" s="8"/>
      <c r="F113" s="9"/>
      <c r="G113" s="9"/>
      <c r="H113" s="9"/>
      <c r="I113" s="8"/>
      <c r="J113" s="7"/>
      <c r="K113" s="20"/>
      <c r="L113" s="20"/>
      <c r="M113" s="9"/>
      <c r="N113" s="8"/>
    </row>
    <row r="114" spans="2:14" s="98" customFormat="1" ht="30" x14ac:dyDescent="0.25">
      <c r="B114" s="8"/>
      <c r="C114" s="8"/>
      <c r="D114" s="8"/>
      <c r="E114" s="8"/>
      <c r="F114" s="9"/>
      <c r="G114" s="9"/>
      <c r="H114" s="9"/>
      <c r="I114" s="8"/>
      <c r="J114" s="7">
        <v>46185</v>
      </c>
      <c r="K114" s="20" t="s">
        <v>769</v>
      </c>
      <c r="L114" s="20" t="s">
        <v>770</v>
      </c>
      <c r="M114" s="9">
        <v>2030000</v>
      </c>
      <c r="N114" s="8">
        <v>781240409</v>
      </c>
    </row>
    <row r="115" spans="2:14" s="98" customFormat="1" x14ac:dyDescent="0.25">
      <c r="B115" s="8"/>
      <c r="C115" s="8"/>
      <c r="D115" s="8"/>
      <c r="E115" s="8"/>
      <c r="F115" s="9"/>
      <c r="G115" s="9"/>
      <c r="H115" s="9"/>
      <c r="I115" s="8"/>
      <c r="J115" s="7"/>
      <c r="K115" s="20"/>
      <c r="L115" s="20"/>
      <c r="M115" s="9"/>
      <c r="N115" s="8"/>
    </row>
    <row r="116" spans="2:14" s="99" customFormat="1" ht="30" x14ac:dyDescent="0.25">
      <c r="B116" s="8"/>
      <c r="C116" s="8"/>
      <c r="D116" s="8"/>
      <c r="E116" s="8"/>
      <c r="F116" s="9"/>
      <c r="G116" s="9"/>
      <c r="H116" s="9"/>
      <c r="I116" s="8"/>
      <c r="J116" s="7">
        <v>46185</v>
      </c>
      <c r="K116" s="20" t="s">
        <v>772</v>
      </c>
      <c r="L116" s="20" t="s">
        <v>773</v>
      </c>
      <c r="M116" s="9">
        <v>263000</v>
      </c>
      <c r="N116" s="8">
        <v>754834591</v>
      </c>
    </row>
    <row r="117" spans="2:14" s="99" customFormat="1" x14ac:dyDescent="0.25">
      <c r="B117" s="8"/>
      <c r="C117" s="8"/>
      <c r="D117" s="8"/>
      <c r="E117" s="8"/>
      <c r="F117" s="9"/>
      <c r="G117" s="9"/>
      <c r="H117" s="9"/>
      <c r="I117" s="8"/>
      <c r="J117" s="7"/>
      <c r="K117" s="20"/>
      <c r="L117" s="20"/>
      <c r="M117" s="9"/>
      <c r="N117" s="8"/>
    </row>
    <row r="118" spans="2:14" s="99" customFormat="1" ht="30" x14ac:dyDescent="0.25">
      <c r="B118" s="8"/>
      <c r="C118" s="8"/>
      <c r="D118" s="8"/>
      <c r="E118" s="8"/>
      <c r="F118" s="9"/>
      <c r="G118" s="9"/>
      <c r="H118" s="9"/>
      <c r="I118" s="8"/>
      <c r="J118" s="7">
        <v>46186</v>
      </c>
      <c r="K118" s="20" t="s">
        <v>713</v>
      </c>
      <c r="L118" s="20" t="s">
        <v>775</v>
      </c>
      <c r="M118" s="9">
        <v>525000</v>
      </c>
      <c r="N118" s="8">
        <v>772306796</v>
      </c>
    </row>
    <row r="119" spans="2:14" s="99" customFormat="1" x14ac:dyDescent="0.25">
      <c r="B119" s="8"/>
      <c r="C119" s="8"/>
      <c r="D119" s="8"/>
      <c r="E119" s="8"/>
      <c r="F119" s="9"/>
      <c r="G119" s="9"/>
      <c r="H119" s="9"/>
      <c r="I119" s="8"/>
      <c r="J119" s="7"/>
      <c r="K119" s="20"/>
      <c r="L119" s="20"/>
      <c r="M119" s="9"/>
      <c r="N119" s="8"/>
    </row>
    <row r="120" spans="2:14" s="99" customFormat="1" ht="30" x14ac:dyDescent="0.25">
      <c r="B120" s="8"/>
      <c r="C120" s="8"/>
      <c r="D120" s="8"/>
      <c r="E120" s="8"/>
      <c r="F120" s="9"/>
      <c r="G120" s="9"/>
      <c r="H120" s="9"/>
      <c r="I120" s="8"/>
      <c r="J120" s="7">
        <v>46187</v>
      </c>
      <c r="K120" s="20" t="s">
        <v>778</v>
      </c>
      <c r="L120" s="20" t="s">
        <v>774</v>
      </c>
      <c r="M120" s="9">
        <v>1400000</v>
      </c>
      <c r="N120" s="8">
        <v>702523750</v>
      </c>
    </row>
    <row r="121" spans="2:14" s="99" customFormat="1" x14ac:dyDescent="0.25">
      <c r="B121" s="8"/>
      <c r="C121" s="8"/>
      <c r="D121" s="8"/>
      <c r="E121" s="8"/>
      <c r="F121" s="9"/>
      <c r="G121" s="9"/>
      <c r="H121" s="9"/>
      <c r="I121" s="8"/>
      <c r="J121" s="7"/>
      <c r="K121" s="20"/>
      <c r="L121" s="20"/>
      <c r="M121" s="9"/>
      <c r="N121" s="8"/>
    </row>
    <row r="122" spans="2:14" s="99" customFormat="1" ht="30" x14ac:dyDescent="0.25">
      <c r="B122" s="8"/>
      <c r="C122" s="8"/>
      <c r="D122" s="8"/>
      <c r="E122" s="8"/>
      <c r="F122" s="9"/>
      <c r="G122" s="9"/>
      <c r="H122" s="9"/>
      <c r="I122" s="8"/>
      <c r="J122" s="7">
        <v>46187</v>
      </c>
      <c r="K122" s="20" t="s">
        <v>776</v>
      </c>
      <c r="L122" s="20" t="s">
        <v>777</v>
      </c>
      <c r="M122" s="9">
        <v>405000</v>
      </c>
      <c r="N122" s="8">
        <v>755865905</v>
      </c>
    </row>
    <row r="123" spans="2:14" s="99" customFormat="1" x14ac:dyDescent="0.25">
      <c r="B123" s="8"/>
      <c r="C123" s="8"/>
      <c r="D123" s="8"/>
      <c r="E123" s="8"/>
      <c r="F123" s="9"/>
      <c r="G123" s="9"/>
      <c r="H123" s="9"/>
      <c r="I123" s="8"/>
      <c r="J123" s="7"/>
      <c r="K123" s="20"/>
      <c r="L123" s="20"/>
      <c r="M123" s="9"/>
      <c r="N123" s="8"/>
    </row>
    <row r="124" spans="2:14" s="98" customFormat="1" x14ac:dyDescent="0.25">
      <c r="B124" s="8"/>
      <c r="C124" s="8"/>
      <c r="D124" s="8"/>
      <c r="E124" s="8"/>
      <c r="F124" s="9"/>
      <c r="G124" s="9"/>
      <c r="H124" s="9"/>
      <c r="I124" s="8"/>
      <c r="J124" s="7">
        <v>46187</v>
      </c>
      <c r="K124" s="20" t="s">
        <v>726</v>
      </c>
      <c r="L124" s="20" t="s">
        <v>779</v>
      </c>
      <c r="M124" s="9">
        <v>3000000</v>
      </c>
      <c r="N124" s="8">
        <v>751682671</v>
      </c>
    </row>
    <row r="125" spans="2:14" s="93" customFormat="1" x14ac:dyDescent="0.25">
      <c r="B125" s="8"/>
      <c r="C125" s="8"/>
      <c r="D125" s="8"/>
      <c r="E125" s="8"/>
      <c r="F125" s="9"/>
      <c r="G125" s="9"/>
      <c r="H125" s="9"/>
      <c r="I125" s="8"/>
      <c r="J125" s="7"/>
      <c r="K125" s="20"/>
      <c r="L125" s="20"/>
      <c r="M125" s="9"/>
      <c r="N125" s="8"/>
    </row>
    <row r="126" spans="2:14" s="99" customFormat="1" ht="30" x14ac:dyDescent="0.25">
      <c r="B126" s="8"/>
      <c r="C126" s="8"/>
      <c r="D126" s="8"/>
      <c r="E126" s="8"/>
      <c r="F126" s="9"/>
      <c r="G126" s="9"/>
      <c r="H126" s="9"/>
      <c r="I126" s="8"/>
      <c r="J126" s="7">
        <v>46188</v>
      </c>
      <c r="K126" s="20" t="s">
        <v>782</v>
      </c>
      <c r="L126" s="20" t="s">
        <v>781</v>
      </c>
      <c r="M126" s="9">
        <v>300000</v>
      </c>
      <c r="N126" s="8">
        <v>755865905</v>
      </c>
    </row>
    <row r="127" spans="2:14" s="99" customFormat="1" x14ac:dyDescent="0.25">
      <c r="B127" s="8"/>
      <c r="C127" s="8"/>
      <c r="D127" s="8"/>
      <c r="E127" s="8"/>
      <c r="F127" s="9"/>
      <c r="G127" s="9"/>
      <c r="H127" s="9"/>
      <c r="I127" s="8"/>
      <c r="J127" s="7"/>
      <c r="K127" s="20"/>
      <c r="L127" s="20" t="s">
        <v>785</v>
      </c>
      <c r="M127" s="9">
        <v>4000</v>
      </c>
      <c r="N127" s="8"/>
    </row>
    <row r="128" spans="2:14" s="100" customFormat="1" x14ac:dyDescent="0.25">
      <c r="B128" s="8"/>
      <c r="C128" s="8"/>
      <c r="D128" s="8"/>
      <c r="E128" s="8"/>
      <c r="F128" s="9"/>
      <c r="G128" s="9"/>
      <c r="H128" s="9"/>
      <c r="I128" s="8"/>
      <c r="J128" s="7"/>
      <c r="K128" s="20"/>
      <c r="L128" s="20"/>
      <c r="M128" s="9"/>
      <c r="N128" s="8"/>
    </row>
    <row r="129" spans="2:14" s="100" customFormat="1" x14ac:dyDescent="0.25">
      <c r="B129" s="8"/>
      <c r="C129" s="8"/>
      <c r="D129" s="8"/>
      <c r="E129" s="8"/>
      <c r="F129" s="9"/>
      <c r="G129" s="9"/>
      <c r="H129" s="9"/>
      <c r="I129" s="8"/>
      <c r="J129" s="7">
        <v>46188</v>
      </c>
      <c r="K129" s="20" t="s">
        <v>783</v>
      </c>
      <c r="L129" s="20" t="s">
        <v>784</v>
      </c>
      <c r="M129" s="9">
        <v>500000</v>
      </c>
      <c r="N129" s="8">
        <v>702523750</v>
      </c>
    </row>
    <row r="130" spans="2:14" s="101" customFormat="1" x14ac:dyDescent="0.25">
      <c r="B130" s="8"/>
      <c r="C130" s="8"/>
      <c r="D130" s="8"/>
      <c r="E130" s="8"/>
      <c r="F130" s="9"/>
      <c r="G130" s="9"/>
      <c r="H130" s="9"/>
      <c r="I130" s="8"/>
      <c r="J130" s="7"/>
      <c r="K130" s="20"/>
      <c r="L130" s="20"/>
      <c r="M130" s="9"/>
      <c r="N130" s="8"/>
    </row>
    <row r="131" spans="2:14" s="101" customFormat="1" ht="30" x14ac:dyDescent="0.25">
      <c r="B131" s="8"/>
      <c r="C131" s="8"/>
      <c r="D131" s="8"/>
      <c r="E131" s="8"/>
      <c r="F131" s="9"/>
      <c r="G131" s="9"/>
      <c r="H131" s="9"/>
      <c r="I131" s="8"/>
      <c r="J131" s="7">
        <v>46188</v>
      </c>
      <c r="K131" s="20" t="s">
        <v>792</v>
      </c>
      <c r="L131" s="20" t="s">
        <v>791</v>
      </c>
      <c r="M131" s="9">
        <v>56836000</v>
      </c>
      <c r="N131" s="8">
        <v>3200587474</v>
      </c>
    </row>
    <row r="132" spans="2:14" s="101" customFormat="1" x14ac:dyDescent="0.25">
      <c r="B132" s="8"/>
      <c r="C132" s="8"/>
      <c r="D132" s="8"/>
      <c r="E132" s="8"/>
      <c r="F132" s="9"/>
      <c r="G132" s="9"/>
      <c r="H132" s="9"/>
      <c r="I132" s="8"/>
      <c r="J132" s="7"/>
      <c r="K132" s="20"/>
      <c r="L132" s="20" t="s">
        <v>793</v>
      </c>
      <c r="M132" s="9">
        <v>30000</v>
      </c>
      <c r="N132" s="8"/>
    </row>
    <row r="133" spans="2:14" s="100" customFormat="1" x14ac:dyDescent="0.25">
      <c r="B133" s="8"/>
      <c r="C133" s="8"/>
      <c r="D133" s="8"/>
      <c r="E133" s="8"/>
      <c r="F133" s="9"/>
      <c r="G133" s="9"/>
      <c r="H133" s="9"/>
      <c r="I133" s="8"/>
      <c r="J133" s="7"/>
      <c r="K133" s="20"/>
      <c r="L133" s="20"/>
      <c r="M133" s="9"/>
      <c r="N133" s="8"/>
    </row>
    <row r="134" spans="2:14" s="101" customFormat="1" ht="30" x14ac:dyDescent="0.25">
      <c r="B134" s="8"/>
      <c r="C134" s="8"/>
      <c r="D134" s="8"/>
      <c r="E134" s="8"/>
      <c r="F134" s="9"/>
      <c r="G134" s="9"/>
      <c r="H134" s="9"/>
      <c r="I134" s="8"/>
      <c r="J134" s="7">
        <v>46189</v>
      </c>
      <c r="K134" s="20" t="s">
        <v>790</v>
      </c>
      <c r="L134" s="20" t="s">
        <v>789</v>
      </c>
      <c r="M134" s="9">
        <v>372000</v>
      </c>
      <c r="N134" s="47">
        <v>254790005147</v>
      </c>
    </row>
    <row r="135" spans="2:14" s="101" customFormat="1" x14ac:dyDescent="0.25">
      <c r="B135" s="8"/>
      <c r="C135" s="8"/>
      <c r="D135" s="8"/>
      <c r="E135" s="8"/>
      <c r="F135" s="9"/>
      <c r="G135" s="9"/>
      <c r="H135" s="9"/>
      <c r="I135" s="8"/>
      <c r="J135" s="7"/>
      <c r="K135" s="20"/>
      <c r="L135" s="20"/>
      <c r="M135" s="9"/>
      <c r="N135" s="8"/>
    </row>
    <row r="136" spans="2:14" s="100" customFormat="1" ht="30" x14ac:dyDescent="0.25">
      <c r="B136" s="8"/>
      <c r="C136" s="8"/>
      <c r="D136" s="8"/>
      <c r="E136" s="8"/>
      <c r="F136" s="9"/>
      <c r="G136" s="9"/>
      <c r="H136" s="9"/>
      <c r="I136" s="8"/>
      <c r="J136" s="7">
        <v>46189</v>
      </c>
      <c r="K136" s="20" t="s">
        <v>726</v>
      </c>
      <c r="L136" s="20" t="s">
        <v>786</v>
      </c>
      <c r="M136" s="9">
        <v>3000000</v>
      </c>
      <c r="N136" s="8">
        <v>751682671</v>
      </c>
    </row>
    <row r="137" spans="2:14" s="100" customFormat="1" x14ac:dyDescent="0.25">
      <c r="B137" s="8"/>
      <c r="C137" s="8"/>
      <c r="D137" s="8"/>
      <c r="E137" s="8"/>
      <c r="F137" s="9"/>
      <c r="G137" s="9"/>
      <c r="H137" s="9"/>
      <c r="I137" s="8"/>
      <c r="J137" s="7"/>
      <c r="K137" s="20"/>
      <c r="L137" s="20"/>
      <c r="M137" s="9"/>
      <c r="N137" s="8"/>
    </row>
    <row r="138" spans="2:14" s="101" customFormat="1" x14ac:dyDescent="0.25">
      <c r="B138" s="8"/>
      <c r="C138" s="8"/>
      <c r="D138" s="8"/>
      <c r="E138" s="8"/>
      <c r="F138" s="9"/>
      <c r="G138" s="9"/>
      <c r="H138" s="9"/>
      <c r="I138" s="8"/>
      <c r="J138" s="7">
        <v>46189</v>
      </c>
      <c r="K138" s="20" t="s">
        <v>788</v>
      </c>
      <c r="L138" s="20" t="s">
        <v>787</v>
      </c>
      <c r="M138" s="9">
        <v>1500000</v>
      </c>
      <c r="N138" s="8">
        <v>706926441</v>
      </c>
    </row>
    <row r="139" spans="2:14" s="101" customFormat="1" x14ac:dyDescent="0.25">
      <c r="B139" s="8"/>
      <c r="C139" s="8"/>
      <c r="D139" s="8"/>
      <c r="E139" s="8"/>
      <c r="F139" s="9"/>
      <c r="G139" s="9"/>
      <c r="H139" s="9"/>
      <c r="I139" s="8"/>
      <c r="J139" s="7"/>
      <c r="K139" s="20"/>
      <c r="L139" s="20"/>
      <c r="M139" s="9"/>
      <c r="N139" s="8"/>
    </row>
    <row r="140" spans="2:14" s="99" customFormat="1" x14ac:dyDescent="0.25">
      <c r="B140" s="8"/>
      <c r="C140" s="8"/>
      <c r="D140" s="8"/>
      <c r="E140" s="8"/>
      <c r="F140" s="9"/>
      <c r="G140" s="9"/>
      <c r="H140" s="9"/>
      <c r="I140" s="8"/>
      <c r="J140" s="7">
        <v>46189</v>
      </c>
      <c r="K140" s="20" t="s">
        <v>562</v>
      </c>
      <c r="L140" s="20" t="s">
        <v>794</v>
      </c>
      <c r="M140" s="9">
        <v>33000</v>
      </c>
      <c r="N140" s="8">
        <v>776312022</v>
      </c>
    </row>
    <row r="141" spans="2:14" s="99" customFormat="1" ht="30" x14ac:dyDescent="0.25">
      <c r="B141" s="8"/>
      <c r="C141" s="8"/>
      <c r="D141" s="8"/>
      <c r="E141" s="8"/>
      <c r="F141" s="9"/>
      <c r="G141" s="9"/>
      <c r="H141" s="9"/>
      <c r="I141" s="8"/>
      <c r="J141" s="7"/>
      <c r="K141" s="20"/>
      <c r="L141" s="20" t="s">
        <v>805</v>
      </c>
      <c r="M141" s="9">
        <v>15500</v>
      </c>
      <c r="N141" s="8"/>
    </row>
    <row r="142" spans="2:14" s="101" customFormat="1" ht="30" x14ac:dyDescent="0.25">
      <c r="B142" s="8"/>
      <c r="C142" s="8"/>
      <c r="D142" s="8"/>
      <c r="E142" s="8"/>
      <c r="F142" s="9"/>
      <c r="G142" s="9"/>
      <c r="H142" s="9"/>
      <c r="I142" s="8"/>
      <c r="J142" s="7">
        <v>46189</v>
      </c>
      <c r="K142" s="20" t="s">
        <v>796</v>
      </c>
      <c r="L142" s="20" t="s">
        <v>795</v>
      </c>
      <c r="M142" s="9">
        <v>50000</v>
      </c>
      <c r="N142" s="8">
        <v>776312022</v>
      </c>
    </row>
    <row r="143" spans="2:14" s="102" customFormat="1" x14ac:dyDescent="0.25">
      <c r="B143" s="8"/>
      <c r="C143" s="8"/>
      <c r="D143" s="8"/>
      <c r="E143" s="8"/>
      <c r="F143" s="9"/>
      <c r="G143" s="9"/>
      <c r="H143" s="9"/>
      <c r="I143" s="8"/>
      <c r="J143" s="7"/>
      <c r="K143" s="20"/>
      <c r="L143" s="20"/>
      <c r="M143" s="9"/>
      <c r="N143" s="8"/>
    </row>
    <row r="144" spans="2:14" s="102" customFormat="1" ht="30" x14ac:dyDescent="0.25">
      <c r="B144" s="8"/>
      <c r="C144" s="8"/>
      <c r="D144" s="8"/>
      <c r="E144" s="8"/>
      <c r="F144" s="9"/>
      <c r="G144" s="9"/>
      <c r="H144" s="9"/>
      <c r="I144" s="8"/>
      <c r="J144" s="7">
        <v>46190</v>
      </c>
      <c r="K144" s="20" t="s">
        <v>803</v>
      </c>
      <c r="L144" s="20" t="s">
        <v>804</v>
      </c>
      <c r="M144" s="9">
        <v>2000000</v>
      </c>
      <c r="N144" s="8" t="s">
        <v>13</v>
      </c>
    </row>
    <row r="145" spans="2:14" s="102" customFormat="1" ht="30" x14ac:dyDescent="0.25">
      <c r="B145" s="8"/>
      <c r="C145" s="8"/>
      <c r="D145" s="8"/>
      <c r="E145" s="8"/>
      <c r="F145" s="9"/>
      <c r="G145" s="9"/>
      <c r="H145" s="9"/>
      <c r="I145" s="8"/>
      <c r="J145" s="7">
        <v>46190</v>
      </c>
      <c r="K145" s="20" t="s">
        <v>797</v>
      </c>
      <c r="L145" s="20" t="s">
        <v>849</v>
      </c>
      <c r="M145" s="9">
        <f>52000+90000+40000</f>
        <v>182000</v>
      </c>
      <c r="N145" s="8">
        <v>781233252</v>
      </c>
    </row>
    <row r="146" spans="2:14" s="102" customFormat="1" x14ac:dyDescent="0.25">
      <c r="B146" s="8"/>
      <c r="C146" s="8"/>
      <c r="D146" s="8"/>
      <c r="E146" s="8"/>
      <c r="F146" s="9"/>
      <c r="G146" s="9"/>
      <c r="H146" s="9"/>
      <c r="I146" s="8"/>
      <c r="J146" s="7"/>
      <c r="K146" s="20"/>
      <c r="L146" s="20" t="s">
        <v>798</v>
      </c>
      <c r="M146" s="9">
        <v>15000</v>
      </c>
      <c r="N146" s="8"/>
    </row>
    <row r="147" spans="2:14" s="102" customFormat="1" x14ac:dyDescent="0.25">
      <c r="B147" s="8"/>
      <c r="C147" s="8"/>
      <c r="D147" s="8"/>
      <c r="E147" s="8"/>
      <c r="F147" s="9"/>
      <c r="G147" s="9"/>
      <c r="H147" s="9"/>
      <c r="I147" s="8"/>
      <c r="J147" s="7">
        <v>46190</v>
      </c>
      <c r="K147" s="20" t="s">
        <v>800</v>
      </c>
      <c r="L147" s="20" t="s">
        <v>799</v>
      </c>
      <c r="M147" s="9">
        <v>2400000</v>
      </c>
      <c r="N147" s="8">
        <v>772590508</v>
      </c>
    </row>
    <row r="148" spans="2:14" s="101" customFormat="1" x14ac:dyDescent="0.25">
      <c r="B148" s="8"/>
      <c r="C148" s="8"/>
      <c r="D148" s="8"/>
      <c r="E148" s="8"/>
      <c r="F148" s="9"/>
      <c r="G148" s="9"/>
      <c r="H148" s="9"/>
      <c r="I148" s="8"/>
      <c r="J148" s="7"/>
      <c r="K148" s="20"/>
      <c r="L148" s="20"/>
      <c r="M148" s="9"/>
      <c r="N148" s="8"/>
    </row>
    <row r="149" spans="2:14" s="102" customFormat="1" ht="30" x14ac:dyDescent="0.25">
      <c r="B149" s="8"/>
      <c r="C149" s="8"/>
      <c r="D149" s="8"/>
      <c r="E149" s="8"/>
      <c r="F149" s="9"/>
      <c r="G149" s="9"/>
      <c r="H149" s="9"/>
      <c r="I149" s="8"/>
      <c r="J149" s="7">
        <v>46190</v>
      </c>
      <c r="K149" s="20" t="s">
        <v>802</v>
      </c>
      <c r="L149" s="20" t="s">
        <v>801</v>
      </c>
      <c r="M149" s="9">
        <v>430000</v>
      </c>
      <c r="N149" s="8">
        <v>709794245</v>
      </c>
    </row>
    <row r="150" spans="2:14" s="102" customFormat="1" ht="30" x14ac:dyDescent="0.25">
      <c r="B150" s="8"/>
      <c r="C150" s="8"/>
      <c r="D150" s="8"/>
      <c r="E150" s="8"/>
      <c r="F150" s="9"/>
      <c r="G150" s="9"/>
      <c r="H150" s="9"/>
      <c r="I150" s="8"/>
      <c r="J150" s="7"/>
      <c r="K150" s="20"/>
      <c r="L150" s="20" t="s">
        <v>806</v>
      </c>
      <c r="M150" s="9">
        <v>5000</v>
      </c>
      <c r="N150" s="8"/>
    </row>
    <row r="151" spans="2:14" s="102" customFormat="1" x14ac:dyDescent="0.25">
      <c r="B151" s="8"/>
      <c r="C151" s="8"/>
      <c r="D151" s="8"/>
      <c r="E151" s="8"/>
      <c r="F151" s="9"/>
      <c r="G151" s="9"/>
      <c r="H151" s="9"/>
      <c r="I151" s="8"/>
      <c r="J151" s="7"/>
      <c r="K151" s="20"/>
      <c r="L151" s="20"/>
      <c r="M151" s="9"/>
      <c r="N151" s="8"/>
    </row>
    <row r="152" spans="2:14" s="103" customFormat="1" x14ac:dyDescent="0.25">
      <c r="B152" s="8"/>
      <c r="C152" s="8"/>
      <c r="D152" s="8"/>
      <c r="E152" s="8"/>
      <c r="F152" s="9"/>
      <c r="G152" s="9"/>
      <c r="H152" s="9"/>
      <c r="I152" s="8"/>
      <c r="J152" s="7">
        <v>46191</v>
      </c>
      <c r="K152" s="20" t="s">
        <v>726</v>
      </c>
      <c r="L152" s="20" t="s">
        <v>807</v>
      </c>
      <c r="M152" s="9">
        <v>900000</v>
      </c>
      <c r="N152" s="8">
        <v>751682671</v>
      </c>
    </row>
    <row r="153" spans="2:14" s="103" customFormat="1" x14ac:dyDescent="0.25">
      <c r="B153" s="8"/>
      <c r="C153" s="8"/>
      <c r="D153" s="8"/>
      <c r="E153" s="8"/>
      <c r="F153" s="9"/>
      <c r="G153" s="9"/>
      <c r="H153" s="9"/>
      <c r="I153" s="8"/>
      <c r="J153" s="7"/>
      <c r="K153" s="20"/>
      <c r="L153" s="20"/>
      <c r="M153" s="9"/>
      <c r="N153" s="8"/>
    </row>
    <row r="154" spans="2:14" s="102" customFormat="1" ht="30" x14ac:dyDescent="0.25">
      <c r="B154" s="8"/>
      <c r="C154" s="8"/>
      <c r="D154" s="8"/>
      <c r="E154" s="8"/>
      <c r="F154" s="9"/>
      <c r="G154" s="9"/>
      <c r="H154" s="9"/>
      <c r="I154" s="8"/>
      <c r="J154" s="7">
        <v>46191</v>
      </c>
      <c r="K154" s="20" t="s">
        <v>769</v>
      </c>
      <c r="L154" s="20" t="s">
        <v>808</v>
      </c>
      <c r="M154" s="9">
        <v>28150000</v>
      </c>
      <c r="N154" s="8" t="s">
        <v>13</v>
      </c>
    </row>
    <row r="155" spans="2:14" s="102" customFormat="1" x14ac:dyDescent="0.25">
      <c r="B155" s="8"/>
      <c r="C155" s="8"/>
      <c r="D155" s="8"/>
      <c r="E155" s="8"/>
      <c r="F155" s="9"/>
      <c r="G155" s="9"/>
      <c r="H155" s="9"/>
      <c r="I155" s="8"/>
      <c r="J155" s="7"/>
      <c r="K155" s="20"/>
      <c r="L155" s="20" t="s">
        <v>793</v>
      </c>
      <c r="M155" s="9">
        <v>30000</v>
      </c>
      <c r="N155" s="8" t="s">
        <v>13</v>
      </c>
    </row>
    <row r="156" spans="2:14" s="103" customFormat="1" ht="30" x14ac:dyDescent="0.25">
      <c r="B156" s="8"/>
      <c r="C156" s="8"/>
      <c r="D156" s="8"/>
      <c r="E156" s="8"/>
      <c r="F156" s="9"/>
      <c r="G156" s="9"/>
      <c r="H156" s="9"/>
      <c r="I156" s="8"/>
      <c r="J156" s="7">
        <v>46191</v>
      </c>
      <c r="K156" s="20" t="s">
        <v>809</v>
      </c>
      <c r="L156" s="20" t="s">
        <v>810</v>
      </c>
      <c r="M156" s="9">
        <v>2000000</v>
      </c>
      <c r="N156" s="8" t="s">
        <v>13</v>
      </c>
    </row>
    <row r="157" spans="2:14" s="103" customFormat="1" x14ac:dyDescent="0.25">
      <c r="B157" s="8"/>
      <c r="C157" s="8"/>
      <c r="D157" s="8"/>
      <c r="E157" s="8"/>
      <c r="F157" s="9"/>
      <c r="G157" s="9"/>
      <c r="H157" s="9"/>
      <c r="I157" s="8"/>
      <c r="J157" s="7"/>
      <c r="K157" s="20"/>
      <c r="L157" s="20"/>
      <c r="M157" s="9"/>
      <c r="N157" s="8"/>
    </row>
    <row r="158" spans="2:14" s="103" customFormat="1" ht="30" x14ac:dyDescent="0.25">
      <c r="B158" s="8"/>
      <c r="C158" s="8"/>
      <c r="D158" s="8"/>
      <c r="E158" s="8"/>
      <c r="F158" s="9"/>
      <c r="G158" s="9"/>
      <c r="H158" s="9"/>
      <c r="I158" s="8"/>
      <c r="J158" s="7">
        <v>46191</v>
      </c>
      <c r="K158" s="20" t="s">
        <v>812</v>
      </c>
      <c r="L158" s="20" t="s">
        <v>811</v>
      </c>
      <c r="M158" s="9">
        <v>500000</v>
      </c>
      <c r="N158" s="8">
        <v>776477212</v>
      </c>
    </row>
    <row r="159" spans="2:14" s="103" customFormat="1" ht="30" x14ac:dyDescent="0.25">
      <c r="B159" s="8"/>
      <c r="C159" s="8"/>
      <c r="D159" s="8"/>
      <c r="E159" s="8"/>
      <c r="F159" s="9"/>
      <c r="G159" s="9"/>
      <c r="H159" s="9"/>
      <c r="I159" s="8"/>
      <c r="J159" s="7">
        <v>46191</v>
      </c>
      <c r="K159" s="20" t="s">
        <v>814</v>
      </c>
      <c r="L159" s="20" t="s">
        <v>813</v>
      </c>
      <c r="M159" s="9">
        <v>1000000</v>
      </c>
      <c r="N159" s="8" t="s">
        <v>13</v>
      </c>
    </row>
    <row r="160" spans="2:14" s="101" customFormat="1" x14ac:dyDescent="0.25">
      <c r="B160" s="8"/>
      <c r="C160" s="8"/>
      <c r="D160" s="8"/>
      <c r="E160" s="8"/>
      <c r="F160" s="9"/>
      <c r="G160" s="9"/>
      <c r="H160" s="9"/>
      <c r="I160" s="8"/>
      <c r="J160" s="7"/>
      <c r="K160" s="20"/>
      <c r="L160" s="20"/>
      <c r="M160" s="9"/>
      <c r="N160" s="8"/>
    </row>
    <row r="161" spans="2:14" s="105" customFormat="1" x14ac:dyDescent="0.25">
      <c r="B161" s="8"/>
      <c r="C161" s="8"/>
      <c r="D161" s="8"/>
      <c r="E161" s="8"/>
      <c r="F161" s="9"/>
      <c r="G161" s="9"/>
      <c r="H161" s="9"/>
      <c r="I161" s="8"/>
      <c r="J161" s="7">
        <v>46191</v>
      </c>
      <c r="K161" s="20" t="s">
        <v>816</v>
      </c>
      <c r="L161" s="20" t="s">
        <v>815</v>
      </c>
      <c r="M161" s="9">
        <v>300000</v>
      </c>
      <c r="N161" s="8">
        <v>756692113</v>
      </c>
    </row>
    <row r="162" spans="2:14" s="107" customFormat="1" x14ac:dyDescent="0.25">
      <c r="B162" s="8"/>
      <c r="C162" s="8"/>
      <c r="D162" s="8"/>
      <c r="E162" s="8"/>
      <c r="F162" s="9"/>
      <c r="G162" s="9"/>
      <c r="H162" s="9"/>
      <c r="I162" s="8"/>
      <c r="J162" s="7">
        <v>46191</v>
      </c>
      <c r="K162" s="20" t="s">
        <v>965</v>
      </c>
      <c r="L162" s="20" t="s">
        <v>837</v>
      </c>
      <c r="M162" s="9">
        <v>26000</v>
      </c>
      <c r="N162" s="8"/>
    </row>
    <row r="163" spans="2:14" s="105" customFormat="1" x14ac:dyDescent="0.25">
      <c r="B163" s="8"/>
      <c r="C163" s="8"/>
      <c r="D163" s="8"/>
      <c r="E163" s="8"/>
      <c r="F163" s="9"/>
      <c r="G163" s="9"/>
      <c r="H163" s="9"/>
      <c r="I163" s="8"/>
      <c r="J163" s="7"/>
      <c r="K163" s="20"/>
      <c r="L163" s="20"/>
      <c r="M163" s="9"/>
      <c r="N163" s="8"/>
    </row>
    <row r="164" spans="2:14" s="105" customFormat="1" ht="30" x14ac:dyDescent="0.25">
      <c r="B164" s="8"/>
      <c r="C164" s="8"/>
      <c r="D164" s="8"/>
      <c r="E164" s="8"/>
      <c r="F164" s="9"/>
      <c r="G164" s="9"/>
      <c r="H164" s="9"/>
      <c r="I164" s="8"/>
      <c r="J164" s="7">
        <v>46192</v>
      </c>
      <c r="K164" s="20" t="s">
        <v>24</v>
      </c>
      <c r="L164" s="20" t="s">
        <v>817</v>
      </c>
      <c r="M164" s="9">
        <v>500000</v>
      </c>
      <c r="N164" s="8">
        <v>700742461</v>
      </c>
    </row>
    <row r="165" spans="2:14" s="105" customFormat="1" x14ac:dyDescent="0.25">
      <c r="B165" s="8"/>
      <c r="C165" s="8"/>
      <c r="D165" s="8"/>
      <c r="E165" s="8"/>
      <c r="F165" s="9"/>
      <c r="G165" s="9"/>
      <c r="H165" s="9"/>
      <c r="I165" s="8"/>
      <c r="J165" s="7"/>
      <c r="K165" s="20"/>
      <c r="L165" s="20"/>
      <c r="M165" s="9"/>
      <c r="N165" s="8"/>
    </row>
    <row r="166" spans="2:14" s="99" customFormat="1" ht="30" x14ac:dyDescent="0.25">
      <c r="B166" s="8"/>
      <c r="C166" s="8"/>
      <c r="D166" s="8"/>
      <c r="E166" s="8"/>
      <c r="F166" s="9"/>
      <c r="G166" s="9"/>
      <c r="H166" s="9"/>
      <c r="I166" s="8"/>
      <c r="J166" s="7">
        <v>46192</v>
      </c>
      <c r="K166" s="20" t="s">
        <v>232</v>
      </c>
      <c r="L166" s="20" t="s">
        <v>818</v>
      </c>
      <c r="M166" s="9">
        <v>240000</v>
      </c>
      <c r="N166" s="8">
        <v>779915273</v>
      </c>
    </row>
    <row r="167" spans="2:14" s="104" customFormat="1" ht="30" x14ac:dyDescent="0.25">
      <c r="B167" s="8"/>
      <c r="C167" s="8"/>
      <c r="D167" s="8"/>
      <c r="E167" s="8"/>
      <c r="F167" s="9"/>
      <c r="G167" s="9"/>
      <c r="H167" s="9"/>
      <c r="I167" s="8"/>
      <c r="J167" s="7"/>
      <c r="K167" s="20"/>
      <c r="L167" s="20" t="s">
        <v>819</v>
      </c>
      <c r="M167" s="9">
        <v>3000</v>
      </c>
      <c r="N167" s="8"/>
    </row>
    <row r="168" spans="2:14" s="106" customFormat="1" x14ac:dyDescent="0.25">
      <c r="B168" s="8"/>
      <c r="C168" s="8"/>
      <c r="D168" s="8"/>
      <c r="E168" s="8"/>
      <c r="F168" s="9"/>
      <c r="G168" s="9"/>
      <c r="H168" s="9"/>
      <c r="I168" s="8"/>
      <c r="J168" s="7"/>
      <c r="K168" s="20"/>
      <c r="L168" s="20"/>
      <c r="M168" s="9"/>
      <c r="N168" s="8"/>
    </row>
    <row r="169" spans="2:14" s="106" customFormat="1" ht="27" customHeight="1" x14ac:dyDescent="0.25">
      <c r="B169" s="8"/>
      <c r="C169" s="8"/>
      <c r="D169" s="8"/>
      <c r="E169" s="8"/>
      <c r="F169" s="9"/>
      <c r="G169" s="9"/>
      <c r="H169" s="9"/>
      <c r="I169" s="8"/>
      <c r="J169" s="7">
        <v>46193</v>
      </c>
      <c r="K169" s="20" t="s">
        <v>24</v>
      </c>
      <c r="L169" s="20" t="s">
        <v>822</v>
      </c>
      <c r="M169" s="9">
        <v>900000</v>
      </c>
      <c r="N169" s="8">
        <v>700742461</v>
      </c>
    </row>
    <row r="170" spans="2:14" s="106" customFormat="1" ht="12.75" customHeight="1" x14ac:dyDescent="0.25">
      <c r="B170" s="8"/>
      <c r="C170" s="8"/>
      <c r="D170" s="8"/>
      <c r="E170" s="8"/>
      <c r="F170" s="9"/>
      <c r="G170" s="9"/>
      <c r="H170" s="9"/>
      <c r="I170" s="8"/>
      <c r="J170" s="7"/>
      <c r="K170" s="20"/>
      <c r="L170" s="20"/>
      <c r="M170" s="9"/>
      <c r="N170" s="8"/>
    </row>
    <row r="171" spans="2:14" s="106" customFormat="1" ht="27" customHeight="1" x14ac:dyDescent="0.25">
      <c r="B171" s="8"/>
      <c r="C171" s="8"/>
      <c r="D171" s="8"/>
      <c r="E171" s="8"/>
      <c r="F171" s="9"/>
      <c r="G171" s="9"/>
      <c r="H171" s="9"/>
      <c r="I171" s="8"/>
      <c r="J171" s="7">
        <v>46193</v>
      </c>
      <c r="K171" s="20" t="s">
        <v>825</v>
      </c>
      <c r="L171" s="20" t="s">
        <v>826</v>
      </c>
      <c r="M171" s="9">
        <v>200000</v>
      </c>
      <c r="N171" s="8">
        <v>706926441</v>
      </c>
    </row>
    <row r="172" spans="2:14" s="106" customFormat="1" x14ac:dyDescent="0.25">
      <c r="B172" s="8"/>
      <c r="C172" s="8"/>
      <c r="D172" s="8"/>
      <c r="E172" s="8"/>
      <c r="F172" s="9"/>
      <c r="G172" s="9"/>
      <c r="H172" s="9"/>
      <c r="I172" s="8"/>
      <c r="J172" s="7"/>
      <c r="K172" s="20"/>
      <c r="L172" s="20"/>
      <c r="M172" s="9"/>
      <c r="N172" s="8"/>
    </row>
    <row r="173" spans="2:14" s="106" customFormat="1" ht="30" x14ac:dyDescent="0.25">
      <c r="B173" s="8"/>
      <c r="C173" s="8"/>
      <c r="D173" s="8"/>
      <c r="E173" s="8"/>
      <c r="F173" s="9"/>
      <c r="G173" s="9"/>
      <c r="H173" s="9"/>
      <c r="I173" s="8"/>
      <c r="J173" s="7">
        <v>46193</v>
      </c>
      <c r="K173" s="20" t="s">
        <v>824</v>
      </c>
      <c r="L173" s="20" t="s">
        <v>823</v>
      </c>
      <c r="M173" s="9">
        <v>660000</v>
      </c>
      <c r="N173" s="8">
        <v>771452920</v>
      </c>
    </row>
    <row r="174" spans="2:14" s="106" customFormat="1" x14ac:dyDescent="0.25">
      <c r="B174" s="8"/>
      <c r="C174" s="8"/>
      <c r="D174" s="8"/>
      <c r="E174" s="8"/>
      <c r="F174" s="9"/>
      <c r="G174" s="9"/>
      <c r="H174" s="9"/>
      <c r="I174" s="8"/>
      <c r="J174" s="7"/>
      <c r="K174" s="20"/>
      <c r="L174" s="20"/>
      <c r="M174" s="9"/>
      <c r="N174" s="8"/>
    </row>
    <row r="175" spans="2:14" s="106" customFormat="1" x14ac:dyDescent="0.25">
      <c r="B175" s="8"/>
      <c r="C175" s="8"/>
      <c r="D175" s="8"/>
      <c r="E175" s="8"/>
      <c r="F175" s="9"/>
      <c r="G175" s="9"/>
      <c r="H175" s="9"/>
      <c r="I175" s="8"/>
      <c r="J175" s="7">
        <v>46194</v>
      </c>
      <c r="K175" s="20" t="s">
        <v>24</v>
      </c>
      <c r="L175" s="20" t="s">
        <v>827</v>
      </c>
      <c r="M175" s="9">
        <v>160000</v>
      </c>
      <c r="N175" s="8">
        <v>700742461</v>
      </c>
    </row>
    <row r="176" spans="2:14" s="106" customFormat="1" x14ac:dyDescent="0.25">
      <c r="B176" s="8"/>
      <c r="C176" s="8"/>
      <c r="D176" s="8"/>
      <c r="E176" s="8"/>
      <c r="F176" s="9"/>
      <c r="G176" s="9"/>
      <c r="H176" s="9"/>
      <c r="I176" s="8"/>
      <c r="J176" s="7"/>
      <c r="K176" s="20"/>
      <c r="L176" s="20"/>
      <c r="M176" s="9"/>
      <c r="N176" s="8"/>
    </row>
    <row r="177" spans="2:14" s="106" customFormat="1" x14ac:dyDescent="0.25">
      <c r="B177" s="8"/>
      <c r="C177" s="8"/>
      <c r="D177" s="8"/>
      <c r="E177" s="8"/>
      <c r="F177" s="9"/>
      <c r="G177" s="9"/>
      <c r="H177" s="9"/>
      <c r="I177" s="8"/>
      <c r="J177" s="7"/>
      <c r="K177" s="20"/>
      <c r="L177" s="20"/>
      <c r="M177" s="9"/>
      <c r="N177" s="8"/>
    </row>
    <row r="178" spans="2:14" s="106" customFormat="1" x14ac:dyDescent="0.25">
      <c r="B178" s="8"/>
      <c r="C178" s="8"/>
      <c r="D178" s="8"/>
      <c r="E178" s="8"/>
      <c r="F178" s="9"/>
      <c r="G178" s="9"/>
      <c r="H178" s="9"/>
      <c r="I178" s="8"/>
      <c r="J178" s="7"/>
      <c r="K178" s="20"/>
      <c r="L178" s="20"/>
      <c r="M178" s="9"/>
      <c r="N178" s="8"/>
    </row>
    <row r="179" spans="2:14" s="106" customFormat="1" ht="30" x14ac:dyDescent="0.25">
      <c r="B179" s="8"/>
      <c r="C179" s="8"/>
      <c r="D179" s="8"/>
      <c r="E179" s="8"/>
      <c r="F179" s="9"/>
      <c r="G179" s="9"/>
      <c r="H179" s="9"/>
      <c r="I179" s="8"/>
      <c r="J179" s="7">
        <v>46194</v>
      </c>
      <c r="K179" s="20" t="s">
        <v>511</v>
      </c>
      <c r="L179" s="20" t="s">
        <v>828</v>
      </c>
      <c r="M179" s="9">
        <v>30000</v>
      </c>
      <c r="N179" s="8">
        <v>776312022</v>
      </c>
    </row>
    <row r="180" spans="2:14" s="106" customFormat="1" ht="30" x14ac:dyDescent="0.25">
      <c r="B180" s="8"/>
      <c r="C180" s="8"/>
      <c r="D180" s="8"/>
      <c r="E180" s="8"/>
      <c r="F180" s="9"/>
      <c r="G180" s="9"/>
      <c r="H180" s="9"/>
      <c r="I180" s="8"/>
      <c r="J180" s="7">
        <v>46194</v>
      </c>
      <c r="K180" s="20" t="s">
        <v>821</v>
      </c>
      <c r="L180" s="20" t="s">
        <v>820</v>
      </c>
      <c r="M180" s="9">
        <v>2800000</v>
      </c>
      <c r="N180" s="8">
        <v>772700423</v>
      </c>
    </row>
    <row r="181" spans="2:14" s="106" customFormat="1" x14ac:dyDescent="0.25">
      <c r="B181" s="8"/>
      <c r="C181" s="8"/>
      <c r="D181" s="8"/>
      <c r="E181" s="8"/>
      <c r="F181" s="9"/>
      <c r="G181" s="9"/>
      <c r="H181" s="9"/>
      <c r="I181" s="8"/>
      <c r="J181" s="7"/>
      <c r="K181" s="20"/>
      <c r="L181" s="20"/>
      <c r="M181" s="9"/>
      <c r="N181" s="8"/>
    </row>
    <row r="182" spans="2:14" s="106" customFormat="1" x14ac:dyDescent="0.25">
      <c r="B182" s="8"/>
      <c r="C182" s="8"/>
      <c r="D182" s="8"/>
      <c r="E182" s="8"/>
      <c r="F182" s="9"/>
      <c r="G182" s="9"/>
      <c r="H182" s="9"/>
      <c r="I182" s="8"/>
      <c r="J182" s="7"/>
      <c r="K182" s="20"/>
      <c r="L182" s="20" t="s">
        <v>829</v>
      </c>
      <c r="M182" s="9">
        <v>10000</v>
      </c>
      <c r="N182" s="8"/>
    </row>
    <row r="183" spans="2:14" s="107" customFormat="1" x14ac:dyDescent="0.25">
      <c r="B183" s="8"/>
      <c r="C183" s="8"/>
      <c r="D183" s="8"/>
      <c r="E183" s="8"/>
      <c r="F183" s="9"/>
      <c r="G183" s="9"/>
      <c r="H183" s="9"/>
      <c r="I183" s="8"/>
      <c r="J183" s="7">
        <v>46195</v>
      </c>
      <c r="K183" s="20" t="s">
        <v>830</v>
      </c>
      <c r="L183" s="20" t="s">
        <v>831</v>
      </c>
      <c r="M183" s="9">
        <v>100000</v>
      </c>
      <c r="N183" s="8">
        <v>776312022</v>
      </c>
    </row>
    <row r="184" spans="2:14" s="107" customFormat="1" x14ac:dyDescent="0.25">
      <c r="B184" s="8"/>
      <c r="C184" s="8"/>
      <c r="D184" s="8"/>
      <c r="E184" s="8"/>
      <c r="F184" s="9"/>
      <c r="G184" s="9"/>
      <c r="H184" s="9"/>
      <c r="I184" s="8"/>
      <c r="J184" s="7"/>
      <c r="K184" s="20"/>
      <c r="L184" s="20"/>
      <c r="M184" s="9"/>
      <c r="N184" s="8"/>
    </row>
    <row r="185" spans="2:14" s="107" customFormat="1" ht="30" x14ac:dyDescent="0.25">
      <c r="B185" s="8"/>
      <c r="C185" s="8"/>
      <c r="D185" s="8"/>
      <c r="E185" s="8"/>
      <c r="F185" s="9"/>
      <c r="G185" s="9"/>
      <c r="H185" s="9"/>
      <c r="I185" s="8"/>
      <c r="J185" s="7">
        <v>46195</v>
      </c>
      <c r="K185" s="20" t="s">
        <v>825</v>
      </c>
      <c r="L185" s="20" t="s">
        <v>832</v>
      </c>
      <c r="M185" s="9">
        <v>400000</v>
      </c>
      <c r="N185" s="8">
        <v>706926441</v>
      </c>
    </row>
    <row r="186" spans="2:14" s="107" customFormat="1" x14ac:dyDescent="0.25">
      <c r="B186" s="8"/>
      <c r="C186" s="8"/>
      <c r="D186" s="8"/>
      <c r="E186" s="8"/>
      <c r="F186" s="9"/>
      <c r="G186" s="9"/>
      <c r="H186" s="9"/>
      <c r="I186" s="8"/>
      <c r="J186" s="7"/>
      <c r="K186" s="20"/>
      <c r="L186" s="20"/>
      <c r="M186" s="9"/>
      <c r="N186" s="8"/>
    </row>
    <row r="187" spans="2:14" s="106" customFormat="1" ht="31.5" customHeight="1" x14ac:dyDescent="0.25">
      <c r="B187" s="8"/>
      <c r="C187" s="8"/>
      <c r="D187" s="8"/>
      <c r="E187" s="8"/>
      <c r="F187" s="9"/>
      <c r="G187" s="9"/>
      <c r="H187" s="9"/>
      <c r="I187" s="8"/>
      <c r="J187" s="7">
        <v>46195</v>
      </c>
      <c r="K187" s="20" t="s">
        <v>833</v>
      </c>
      <c r="L187" s="20" t="s">
        <v>860</v>
      </c>
      <c r="M187" s="9">
        <v>940000</v>
      </c>
      <c r="N187" s="8">
        <v>702523750</v>
      </c>
    </row>
    <row r="188" spans="2:14" s="106" customFormat="1" x14ac:dyDescent="0.25">
      <c r="B188" s="8"/>
      <c r="C188" s="8"/>
      <c r="D188" s="8"/>
      <c r="E188" s="8"/>
      <c r="F188" s="9"/>
      <c r="G188" s="9"/>
      <c r="H188" s="9"/>
      <c r="I188" s="8"/>
      <c r="J188" s="7"/>
      <c r="K188" s="20"/>
      <c r="L188" s="20"/>
      <c r="M188" s="9"/>
      <c r="N188" s="8"/>
    </row>
    <row r="189" spans="2:14" s="106" customFormat="1" ht="30" x14ac:dyDescent="0.25">
      <c r="B189" s="8"/>
      <c r="C189" s="8"/>
      <c r="D189" s="8"/>
      <c r="E189" s="8"/>
      <c r="F189" s="9"/>
      <c r="G189" s="9"/>
      <c r="H189" s="9"/>
      <c r="I189" s="8"/>
      <c r="J189" s="7">
        <v>46195</v>
      </c>
      <c r="K189" s="20" t="s">
        <v>713</v>
      </c>
      <c r="L189" s="20" t="s">
        <v>834</v>
      </c>
      <c r="M189" s="9">
        <v>295000</v>
      </c>
      <c r="N189" s="8" t="s">
        <v>13</v>
      </c>
    </row>
    <row r="190" spans="2:14" s="107" customFormat="1" x14ac:dyDescent="0.25">
      <c r="B190" s="8"/>
      <c r="C190" s="8"/>
      <c r="D190" s="8"/>
      <c r="E190" s="8"/>
      <c r="F190" s="9"/>
      <c r="G190" s="9"/>
      <c r="H190" s="9"/>
      <c r="I190" s="8"/>
      <c r="J190" s="7">
        <v>46195</v>
      </c>
      <c r="K190" s="20"/>
      <c r="L190" s="20" t="s">
        <v>835</v>
      </c>
      <c r="M190" s="9">
        <v>10000</v>
      </c>
      <c r="N190" s="8"/>
    </row>
    <row r="191" spans="2:14" s="107" customFormat="1" ht="30" x14ac:dyDescent="0.25">
      <c r="B191" s="8"/>
      <c r="C191" s="8"/>
      <c r="D191" s="8"/>
      <c r="E191" s="8"/>
      <c r="F191" s="9"/>
      <c r="G191" s="9"/>
      <c r="H191" s="9"/>
      <c r="I191" s="8"/>
      <c r="J191" s="7"/>
      <c r="K191" s="20"/>
      <c r="L191" s="20" t="s">
        <v>838</v>
      </c>
      <c r="M191" s="9">
        <v>4500</v>
      </c>
      <c r="N191" s="8"/>
    </row>
    <row r="192" spans="2:14" s="107" customFormat="1" x14ac:dyDescent="0.25">
      <c r="B192" s="8"/>
      <c r="C192" s="8"/>
      <c r="D192" s="8"/>
      <c r="E192" s="8"/>
      <c r="F192" s="9"/>
      <c r="G192" s="9"/>
      <c r="H192" s="9"/>
      <c r="I192" s="8"/>
      <c r="J192" s="7">
        <v>46195</v>
      </c>
      <c r="K192" s="20" t="s">
        <v>242</v>
      </c>
      <c r="L192" s="20" t="s">
        <v>836</v>
      </c>
      <c r="M192" s="9">
        <v>10000</v>
      </c>
      <c r="N192" s="8" t="s">
        <v>13</v>
      </c>
    </row>
    <row r="193" spans="2:14" s="107" customFormat="1" x14ac:dyDescent="0.25">
      <c r="B193" s="8"/>
      <c r="C193" s="8"/>
      <c r="D193" s="8"/>
      <c r="E193" s="8"/>
      <c r="F193" s="9"/>
      <c r="G193" s="9"/>
      <c r="H193" s="9"/>
      <c r="I193" s="8"/>
      <c r="J193" s="7"/>
      <c r="K193" s="20"/>
      <c r="L193" s="20"/>
      <c r="M193" s="9"/>
      <c r="N193" s="8"/>
    </row>
    <row r="194" spans="2:14" s="108" customFormat="1" x14ac:dyDescent="0.25">
      <c r="B194" s="8"/>
      <c r="C194" s="8"/>
      <c r="D194" s="8"/>
      <c r="E194" s="8"/>
      <c r="F194" s="9"/>
      <c r="G194" s="9"/>
      <c r="H194" s="9"/>
      <c r="I194" s="8"/>
      <c r="J194" s="7">
        <v>46195</v>
      </c>
      <c r="K194" s="20" t="s">
        <v>840</v>
      </c>
      <c r="L194" s="20" t="s">
        <v>839</v>
      </c>
      <c r="M194" s="9">
        <v>150000</v>
      </c>
      <c r="N194" s="8">
        <v>751310181</v>
      </c>
    </row>
    <row r="195" spans="2:14" s="108" customFormat="1" x14ac:dyDescent="0.25">
      <c r="B195" s="8"/>
      <c r="C195" s="8"/>
      <c r="D195" s="8"/>
      <c r="E195" s="8"/>
      <c r="F195" s="9"/>
      <c r="G195" s="9"/>
      <c r="H195" s="9"/>
      <c r="I195" s="8"/>
      <c r="J195" s="7"/>
      <c r="K195" s="20"/>
      <c r="L195" s="20"/>
      <c r="M195" s="9"/>
      <c r="N195" s="8"/>
    </row>
    <row r="196" spans="2:14" s="108" customFormat="1" x14ac:dyDescent="0.25">
      <c r="B196" s="8"/>
      <c r="C196" s="8"/>
      <c r="D196" s="8"/>
      <c r="E196" s="8"/>
      <c r="F196" s="9"/>
      <c r="G196" s="9"/>
      <c r="H196" s="9"/>
      <c r="I196" s="8"/>
      <c r="J196" s="7">
        <v>46195</v>
      </c>
      <c r="K196" s="20" t="s">
        <v>842</v>
      </c>
      <c r="L196" s="20" t="s">
        <v>841</v>
      </c>
      <c r="M196" s="9">
        <v>13000000</v>
      </c>
      <c r="N196" s="8">
        <v>3201848393</v>
      </c>
    </row>
    <row r="197" spans="2:14" s="108" customFormat="1" x14ac:dyDescent="0.25">
      <c r="B197" s="8"/>
      <c r="C197" s="8"/>
      <c r="D197" s="8"/>
      <c r="E197" s="8"/>
      <c r="F197" s="9"/>
      <c r="G197" s="9"/>
      <c r="H197" s="9"/>
      <c r="I197" s="8"/>
      <c r="J197" s="7"/>
      <c r="K197" s="20"/>
      <c r="L197" s="20"/>
      <c r="M197" s="9"/>
      <c r="N197" s="8"/>
    </row>
    <row r="198" spans="2:14" s="107" customFormat="1" ht="30" customHeight="1" x14ac:dyDescent="0.25">
      <c r="B198" s="8"/>
      <c r="C198" s="8"/>
      <c r="D198" s="8"/>
      <c r="E198" s="8"/>
      <c r="F198" s="9"/>
      <c r="G198" s="9"/>
      <c r="H198" s="9"/>
      <c r="I198" s="8"/>
      <c r="J198" s="7">
        <v>46195</v>
      </c>
      <c r="K198" s="20" t="s">
        <v>843</v>
      </c>
      <c r="L198" s="20" t="s">
        <v>847</v>
      </c>
      <c r="M198" s="9">
        <v>6000000</v>
      </c>
      <c r="N198" s="20" t="s">
        <v>844</v>
      </c>
    </row>
    <row r="199" spans="2:14" s="108" customFormat="1" x14ac:dyDescent="0.25">
      <c r="B199" s="8"/>
      <c r="C199" s="8"/>
      <c r="D199" s="8"/>
      <c r="E199" s="8"/>
      <c r="F199" s="9"/>
      <c r="G199" s="9"/>
      <c r="H199" s="9"/>
      <c r="I199" s="8"/>
      <c r="J199" s="7"/>
      <c r="K199" s="20"/>
      <c r="L199" s="20"/>
      <c r="M199" s="9"/>
      <c r="N199" s="8"/>
    </row>
    <row r="200" spans="2:14" s="108" customFormat="1" ht="30" x14ac:dyDescent="0.25">
      <c r="B200" s="8"/>
      <c r="C200" s="8"/>
      <c r="D200" s="8"/>
      <c r="E200" s="8"/>
      <c r="F200" s="9"/>
      <c r="G200" s="9"/>
      <c r="H200" s="9"/>
      <c r="I200" s="8"/>
      <c r="J200" s="7">
        <v>46195</v>
      </c>
      <c r="K200" s="20" t="s">
        <v>846</v>
      </c>
      <c r="L200" s="20" t="s">
        <v>848</v>
      </c>
      <c r="M200" s="9">
        <v>1350000</v>
      </c>
      <c r="N200" s="110" t="s">
        <v>845</v>
      </c>
    </row>
    <row r="201" spans="2:14" s="108" customFormat="1" ht="30" x14ac:dyDescent="0.25">
      <c r="B201" s="8"/>
      <c r="C201" s="8"/>
      <c r="D201" s="8"/>
      <c r="E201" s="8"/>
      <c r="F201" s="9"/>
      <c r="G201" s="9"/>
      <c r="H201" s="9"/>
      <c r="I201" s="8"/>
      <c r="J201" s="7">
        <v>46195</v>
      </c>
      <c r="K201" s="20" t="s">
        <v>846</v>
      </c>
      <c r="L201" s="20" t="s">
        <v>852</v>
      </c>
      <c r="M201" s="9">
        <v>360000</v>
      </c>
      <c r="N201" s="110" t="s">
        <v>845</v>
      </c>
    </row>
    <row r="202" spans="2:14" s="104" customFormat="1" x14ac:dyDescent="0.25">
      <c r="B202" s="8"/>
      <c r="C202" s="8"/>
      <c r="D202" s="8"/>
      <c r="E202" s="8"/>
      <c r="F202" s="9"/>
      <c r="G202" s="9"/>
      <c r="H202" s="9"/>
      <c r="I202" s="8"/>
      <c r="J202" s="7"/>
      <c r="K202" s="20"/>
      <c r="L202" s="20"/>
      <c r="N202" s="8"/>
    </row>
    <row r="203" spans="2:14" s="104" customFormat="1" ht="30" x14ac:dyDescent="0.25">
      <c r="B203" s="8"/>
      <c r="C203" s="8"/>
      <c r="D203" s="8"/>
      <c r="E203" s="8"/>
      <c r="F203" s="9"/>
      <c r="G203" s="9"/>
      <c r="H203" s="9"/>
      <c r="I203" s="8"/>
      <c r="J203" s="7">
        <v>46196</v>
      </c>
      <c r="K203" s="20" t="s">
        <v>242</v>
      </c>
      <c r="L203" s="20" t="s">
        <v>853</v>
      </c>
      <c r="M203" s="9">
        <v>3560000</v>
      </c>
      <c r="N203" s="8">
        <v>700742461</v>
      </c>
    </row>
    <row r="204" spans="2:14" s="109" customFormat="1" x14ac:dyDescent="0.25">
      <c r="B204" s="8"/>
      <c r="C204" s="8"/>
      <c r="D204" s="8"/>
      <c r="E204" s="8"/>
      <c r="F204" s="9"/>
      <c r="G204" s="9"/>
      <c r="H204" s="9"/>
      <c r="I204" s="8"/>
      <c r="J204" s="7"/>
      <c r="K204" s="20"/>
      <c r="L204" s="20"/>
      <c r="M204" s="9"/>
      <c r="N204" s="8"/>
    </row>
    <row r="205" spans="2:14" s="109" customFormat="1" x14ac:dyDescent="0.25">
      <c r="B205" s="8"/>
      <c r="C205" s="8"/>
      <c r="D205" s="8"/>
      <c r="E205" s="8"/>
      <c r="F205" s="9"/>
      <c r="G205" s="9"/>
      <c r="H205" s="9"/>
      <c r="I205" s="8"/>
      <c r="J205" s="7">
        <v>46197</v>
      </c>
      <c r="K205" s="20" t="s">
        <v>854</v>
      </c>
      <c r="L205" s="20" t="s">
        <v>855</v>
      </c>
      <c r="M205" s="9">
        <v>93000</v>
      </c>
      <c r="N205" s="8">
        <v>746136461</v>
      </c>
    </row>
    <row r="206" spans="2:14" s="111" customFormat="1" x14ac:dyDescent="0.25">
      <c r="B206" s="8"/>
      <c r="C206" s="8"/>
      <c r="D206" s="8"/>
      <c r="E206" s="8"/>
      <c r="F206" s="9"/>
      <c r="G206" s="9"/>
      <c r="H206" s="9"/>
      <c r="I206" s="8"/>
      <c r="J206" s="7"/>
      <c r="K206" s="20"/>
      <c r="L206" s="20"/>
      <c r="M206" s="9"/>
      <c r="N206" s="8"/>
    </row>
    <row r="207" spans="2:14" s="109" customFormat="1" ht="30" x14ac:dyDescent="0.25">
      <c r="B207" s="8"/>
      <c r="C207" s="8"/>
      <c r="D207" s="8"/>
      <c r="E207" s="8"/>
      <c r="F207" s="9"/>
      <c r="G207" s="9"/>
      <c r="H207" s="9"/>
      <c r="I207" s="8"/>
      <c r="J207" s="7">
        <v>46197</v>
      </c>
      <c r="K207" s="20" t="s">
        <v>24</v>
      </c>
      <c r="L207" s="20" t="s">
        <v>856</v>
      </c>
      <c r="M207" s="9">
        <v>250000</v>
      </c>
      <c r="N207" s="8">
        <v>700742461</v>
      </c>
    </row>
    <row r="208" spans="2:14" s="111" customFormat="1" x14ac:dyDescent="0.25">
      <c r="B208" s="8"/>
      <c r="C208" s="8"/>
      <c r="D208" s="8"/>
      <c r="E208" s="8"/>
      <c r="F208" s="9"/>
      <c r="G208" s="9"/>
      <c r="H208" s="9"/>
      <c r="I208" s="8"/>
      <c r="J208" s="7"/>
      <c r="K208" s="20"/>
      <c r="L208" s="20"/>
      <c r="M208" s="9"/>
      <c r="N208" s="8"/>
    </row>
    <row r="209" spans="2:14" s="109" customFormat="1" ht="30" x14ac:dyDescent="0.25">
      <c r="B209" s="8"/>
      <c r="C209" s="8"/>
      <c r="D209" s="8"/>
      <c r="E209" s="8"/>
      <c r="F209" s="9"/>
      <c r="G209" s="9"/>
      <c r="H209" s="9"/>
      <c r="I209" s="8"/>
      <c r="J209" s="7">
        <v>46197</v>
      </c>
      <c r="K209" s="20" t="s">
        <v>858</v>
      </c>
      <c r="L209" s="20" t="s">
        <v>857</v>
      </c>
      <c r="M209" s="9">
        <v>3000000</v>
      </c>
      <c r="N209" s="8">
        <v>752407547</v>
      </c>
    </row>
    <row r="210" spans="2:14" s="109" customFormat="1" x14ac:dyDescent="0.25">
      <c r="B210" s="8"/>
      <c r="C210" s="8"/>
      <c r="D210" s="8"/>
      <c r="E210" s="8"/>
      <c r="F210" s="9"/>
      <c r="G210" s="9"/>
      <c r="H210" s="9"/>
      <c r="I210" s="8"/>
      <c r="J210" s="7"/>
      <c r="K210" s="20"/>
      <c r="L210" s="20" t="s">
        <v>859</v>
      </c>
      <c r="M210" s="9">
        <v>4000</v>
      </c>
      <c r="N210" s="8"/>
    </row>
    <row r="211" spans="2:14" s="111" customFormat="1" x14ac:dyDescent="0.25">
      <c r="B211" s="8"/>
      <c r="C211" s="8"/>
      <c r="D211" s="8"/>
      <c r="E211" s="8"/>
      <c r="F211" s="9"/>
      <c r="G211" s="9"/>
      <c r="H211" s="9"/>
      <c r="I211" s="8"/>
      <c r="J211" s="7"/>
      <c r="K211" s="20"/>
      <c r="L211" s="20"/>
      <c r="M211" s="9"/>
      <c r="N211" s="8"/>
    </row>
    <row r="212" spans="2:14" s="111" customFormat="1" ht="30" x14ac:dyDescent="0.25">
      <c r="B212" s="8"/>
      <c r="C212" s="8"/>
      <c r="D212" s="8"/>
      <c r="E212" s="8"/>
      <c r="F212" s="9"/>
      <c r="G212" s="9"/>
      <c r="H212" s="9"/>
      <c r="I212" s="8"/>
      <c r="J212" s="7">
        <v>46197</v>
      </c>
      <c r="K212" s="20" t="s">
        <v>24</v>
      </c>
      <c r="L212" s="20" t="s">
        <v>909</v>
      </c>
      <c r="M212" s="9">
        <v>1000000</v>
      </c>
      <c r="N212" s="8" t="s">
        <v>13</v>
      </c>
    </row>
    <row r="213" spans="2:14" s="111" customFormat="1" x14ac:dyDescent="0.25">
      <c r="B213" s="8"/>
      <c r="C213" s="8"/>
      <c r="D213" s="8"/>
      <c r="E213" s="8"/>
      <c r="F213" s="9"/>
      <c r="G213" s="9"/>
      <c r="H213" s="9"/>
      <c r="I213" s="8"/>
      <c r="J213" s="7"/>
      <c r="K213" s="20"/>
      <c r="L213" s="20"/>
      <c r="M213" s="9"/>
      <c r="N213" s="8"/>
    </row>
    <row r="214" spans="2:14" s="111" customFormat="1" ht="30" x14ac:dyDescent="0.25">
      <c r="B214" s="8"/>
      <c r="C214" s="8"/>
      <c r="D214" s="8"/>
      <c r="E214" s="8"/>
      <c r="F214" s="9"/>
      <c r="G214" s="9"/>
      <c r="H214" s="9"/>
      <c r="I214" s="8"/>
      <c r="J214" s="7">
        <v>46197</v>
      </c>
      <c r="K214" s="20" t="s">
        <v>863</v>
      </c>
      <c r="L214" s="20" t="s">
        <v>862</v>
      </c>
      <c r="M214" s="9">
        <v>9600000</v>
      </c>
      <c r="N214" s="8" t="s">
        <v>13</v>
      </c>
    </row>
    <row r="215" spans="2:14" s="111" customFormat="1" x14ac:dyDescent="0.25">
      <c r="B215" s="8"/>
      <c r="C215" s="8"/>
      <c r="D215" s="8"/>
      <c r="E215" s="8"/>
      <c r="F215" s="9"/>
      <c r="G215" s="9"/>
      <c r="H215" s="9"/>
      <c r="I215" s="8"/>
      <c r="J215" s="7"/>
      <c r="K215" s="20"/>
      <c r="L215" s="20"/>
      <c r="M215" s="9"/>
      <c r="N215" s="8"/>
    </row>
    <row r="216" spans="2:14" s="111" customFormat="1" ht="30" x14ac:dyDescent="0.25">
      <c r="B216" s="8"/>
      <c r="C216" s="8"/>
      <c r="D216" s="8"/>
      <c r="E216" s="8"/>
      <c r="F216" s="9"/>
      <c r="G216" s="9"/>
      <c r="H216" s="9"/>
      <c r="I216" s="8"/>
      <c r="J216" s="7">
        <v>46198</v>
      </c>
      <c r="K216" s="20" t="s">
        <v>864</v>
      </c>
      <c r="L216" s="20" t="s">
        <v>865</v>
      </c>
      <c r="M216" s="9">
        <v>2025000</v>
      </c>
      <c r="N216" s="8">
        <v>746136461</v>
      </c>
    </row>
    <row r="217" spans="2:14" s="112" customFormat="1" x14ac:dyDescent="0.25">
      <c r="B217" s="8"/>
      <c r="C217" s="8"/>
      <c r="D217" s="8"/>
      <c r="E217" s="8"/>
      <c r="F217" s="9"/>
      <c r="G217" s="9"/>
      <c r="H217" s="9"/>
      <c r="I217" s="8"/>
      <c r="J217" s="7"/>
      <c r="K217" s="20"/>
      <c r="L217" s="20"/>
      <c r="M217" s="9"/>
      <c r="N217" s="8"/>
    </row>
    <row r="218" spans="2:14" s="112" customFormat="1" x14ac:dyDescent="0.25">
      <c r="B218" s="8"/>
      <c r="C218" s="8"/>
      <c r="D218" s="8"/>
      <c r="E218" s="8"/>
      <c r="F218" s="9"/>
      <c r="G218" s="9"/>
      <c r="H218" s="9"/>
      <c r="I218" s="8"/>
      <c r="J218" s="7">
        <v>46198</v>
      </c>
      <c r="K218" s="20" t="s">
        <v>867</v>
      </c>
      <c r="L218" s="20" t="s">
        <v>866</v>
      </c>
      <c r="M218" s="9">
        <v>700000</v>
      </c>
      <c r="N218" s="8">
        <v>774654070</v>
      </c>
    </row>
    <row r="219" spans="2:14" s="112" customFormat="1" x14ac:dyDescent="0.25">
      <c r="B219" s="8"/>
      <c r="C219" s="8"/>
      <c r="D219" s="8"/>
      <c r="E219" s="8"/>
      <c r="F219" s="9"/>
      <c r="G219" s="9"/>
      <c r="H219" s="9"/>
      <c r="I219" s="8"/>
      <c r="J219" s="7"/>
      <c r="K219" s="20"/>
      <c r="L219" s="20"/>
      <c r="M219" s="9"/>
      <c r="N219" s="8"/>
    </row>
    <row r="220" spans="2:14" s="112" customFormat="1" x14ac:dyDescent="0.25">
      <c r="B220" s="8"/>
      <c r="C220" s="8"/>
      <c r="D220" s="8"/>
      <c r="E220" s="8"/>
      <c r="F220" s="9"/>
      <c r="G220" s="9"/>
      <c r="H220" s="9"/>
      <c r="I220" s="8"/>
      <c r="J220" s="7">
        <v>46198</v>
      </c>
      <c r="K220" s="20" t="s">
        <v>869</v>
      </c>
      <c r="L220" s="20" t="s">
        <v>868</v>
      </c>
      <c r="M220" s="9">
        <v>510000</v>
      </c>
      <c r="N220" s="8">
        <v>740159254</v>
      </c>
    </row>
    <row r="221" spans="2:14" s="112" customFormat="1" x14ac:dyDescent="0.25">
      <c r="B221" s="8"/>
      <c r="C221" s="8"/>
      <c r="D221" s="8"/>
      <c r="E221" s="8"/>
      <c r="F221" s="9"/>
      <c r="G221" s="9"/>
      <c r="H221" s="9"/>
      <c r="I221" s="8"/>
      <c r="J221" s="7"/>
      <c r="K221" s="20"/>
      <c r="L221" s="20"/>
      <c r="M221" s="9"/>
      <c r="N221" s="8"/>
    </row>
    <row r="222" spans="2:14" s="113" customFormat="1" ht="30" x14ac:dyDescent="0.25">
      <c r="B222" s="8"/>
      <c r="C222" s="8"/>
      <c r="D222" s="8"/>
      <c r="E222" s="8"/>
      <c r="F222" s="9"/>
      <c r="G222" s="9"/>
      <c r="H222" s="9"/>
      <c r="I222" s="8"/>
      <c r="J222" s="7">
        <v>46198</v>
      </c>
      <c r="K222" s="20" t="s">
        <v>242</v>
      </c>
      <c r="L222" s="20" t="s">
        <v>894</v>
      </c>
      <c r="M222" s="9">
        <v>3000000</v>
      </c>
      <c r="N222" s="8">
        <v>700742461</v>
      </c>
    </row>
    <row r="223" spans="2:14" s="113" customFormat="1" x14ac:dyDescent="0.25">
      <c r="B223" s="8"/>
      <c r="C223" s="8"/>
      <c r="D223" s="8"/>
      <c r="E223" s="8"/>
      <c r="F223" s="9"/>
      <c r="G223" s="9"/>
      <c r="H223" s="9"/>
      <c r="I223" s="8"/>
      <c r="J223" s="7"/>
      <c r="K223" s="20"/>
      <c r="L223" s="20"/>
      <c r="M223" s="9"/>
      <c r="N223" s="8"/>
    </row>
    <row r="224" spans="2:14" s="112" customFormat="1" ht="30" x14ac:dyDescent="0.25">
      <c r="B224" s="8"/>
      <c r="C224" s="8"/>
      <c r="D224" s="8"/>
      <c r="E224" s="8"/>
      <c r="F224" s="9"/>
      <c r="G224" s="9"/>
      <c r="H224" s="9"/>
      <c r="I224" s="8"/>
      <c r="J224" s="7">
        <v>46199</v>
      </c>
      <c r="K224" s="20" t="s">
        <v>726</v>
      </c>
      <c r="L224" s="20" t="s">
        <v>870</v>
      </c>
      <c r="M224" s="9">
        <v>1500000</v>
      </c>
      <c r="N224" s="8">
        <v>751682671</v>
      </c>
    </row>
    <row r="225" spans="2:14" s="111" customFormat="1" x14ac:dyDescent="0.25">
      <c r="B225" s="8"/>
      <c r="C225" s="8"/>
      <c r="D225" s="8"/>
      <c r="E225" s="8"/>
      <c r="F225" s="9"/>
      <c r="G225" s="9"/>
      <c r="H225" s="9"/>
      <c r="I225" s="8"/>
      <c r="J225" s="7"/>
      <c r="K225" s="20"/>
      <c r="L225" s="20"/>
      <c r="M225" s="9"/>
      <c r="N225" s="8"/>
    </row>
    <row r="226" spans="2:14" s="111" customFormat="1" ht="30" x14ac:dyDescent="0.25">
      <c r="B226" s="8"/>
      <c r="C226" s="8"/>
      <c r="D226" s="8"/>
      <c r="E226" s="8"/>
      <c r="F226" s="9"/>
      <c r="G226" s="9"/>
      <c r="H226" s="9"/>
      <c r="I226" s="8"/>
      <c r="J226" s="7">
        <v>46199</v>
      </c>
      <c r="K226" s="20" t="s">
        <v>871</v>
      </c>
      <c r="L226" s="20" t="s">
        <v>872</v>
      </c>
      <c r="M226" s="9">
        <v>5400000</v>
      </c>
      <c r="N226" s="8" t="s">
        <v>873</v>
      </c>
    </row>
    <row r="227" spans="2:14" s="111" customFormat="1" x14ac:dyDescent="0.25">
      <c r="B227" s="8"/>
      <c r="C227" s="8"/>
      <c r="D227" s="8"/>
      <c r="E227" s="8"/>
      <c r="F227" s="9"/>
      <c r="G227" s="9"/>
      <c r="H227" s="9"/>
      <c r="I227" s="8"/>
      <c r="J227" s="7"/>
      <c r="K227" s="20"/>
      <c r="L227" s="20"/>
      <c r="M227" s="9"/>
      <c r="N227" s="8"/>
    </row>
    <row r="228" spans="2:14" s="114" customFormat="1" ht="30" x14ac:dyDescent="0.25">
      <c r="B228" s="8"/>
      <c r="C228" s="8"/>
      <c r="D228" s="8"/>
      <c r="E228" s="8"/>
      <c r="F228" s="9"/>
      <c r="G228" s="9"/>
      <c r="H228" s="9"/>
      <c r="I228" s="8"/>
      <c r="J228" s="7">
        <v>46199</v>
      </c>
      <c r="K228" s="20" t="s">
        <v>875</v>
      </c>
      <c r="L228" s="20" t="s">
        <v>874</v>
      </c>
      <c r="M228" s="9">
        <v>6300000</v>
      </c>
      <c r="N228" s="8" t="s">
        <v>13</v>
      </c>
    </row>
    <row r="229" spans="2:14" s="114" customFormat="1" x14ac:dyDescent="0.25">
      <c r="B229" s="8"/>
      <c r="C229" s="8"/>
      <c r="D229" s="8"/>
      <c r="E229" s="8"/>
      <c r="F229" s="9"/>
      <c r="G229" s="9"/>
      <c r="H229" s="9"/>
      <c r="I229" s="8"/>
      <c r="J229" s="7"/>
      <c r="K229" s="20"/>
      <c r="L229" s="20"/>
      <c r="M229" s="9"/>
      <c r="N229" s="8"/>
    </row>
    <row r="230" spans="2:14" s="114" customFormat="1" x14ac:dyDescent="0.25">
      <c r="B230" s="8"/>
      <c r="C230" s="8"/>
      <c r="D230" s="8"/>
      <c r="E230" s="8"/>
      <c r="F230" s="9"/>
      <c r="G230" s="9"/>
      <c r="H230" s="9"/>
      <c r="I230" s="8"/>
      <c r="J230" s="7">
        <v>46199</v>
      </c>
      <c r="K230" s="20" t="s">
        <v>877</v>
      </c>
      <c r="L230" s="20" t="s">
        <v>876</v>
      </c>
      <c r="M230" s="9">
        <v>350000</v>
      </c>
      <c r="N230" s="8">
        <v>772048779</v>
      </c>
    </row>
    <row r="231" spans="2:14" s="114" customFormat="1" x14ac:dyDescent="0.25">
      <c r="B231" s="8"/>
      <c r="C231" s="8"/>
      <c r="D231" s="8"/>
      <c r="E231" s="8"/>
      <c r="F231" s="9"/>
      <c r="G231" s="9"/>
      <c r="H231" s="9"/>
      <c r="I231" s="8"/>
      <c r="J231" s="7"/>
      <c r="K231" s="20"/>
      <c r="L231" s="20"/>
      <c r="M231" s="9"/>
      <c r="N231" s="8"/>
    </row>
    <row r="232" spans="2:14" s="115" customFormat="1" x14ac:dyDescent="0.25">
      <c r="B232" s="8"/>
      <c r="C232" s="8"/>
      <c r="D232" s="8"/>
      <c r="E232" s="8"/>
      <c r="F232" s="9"/>
      <c r="G232" s="9"/>
      <c r="H232" s="9"/>
      <c r="I232" s="8"/>
      <c r="J232" s="7">
        <v>46199</v>
      </c>
      <c r="K232" s="20" t="s">
        <v>713</v>
      </c>
      <c r="L232" s="20" t="s">
        <v>560</v>
      </c>
      <c r="M232" s="9">
        <v>250000</v>
      </c>
      <c r="N232" s="8">
        <v>772306796</v>
      </c>
    </row>
    <row r="233" spans="2:14" s="115" customFormat="1" x14ac:dyDescent="0.25">
      <c r="B233" s="8"/>
      <c r="C233" s="8"/>
      <c r="D233" s="8"/>
      <c r="E233" s="8"/>
      <c r="F233" s="9"/>
      <c r="G233" s="9"/>
      <c r="H233" s="9"/>
      <c r="I233" s="8"/>
      <c r="J233" s="7"/>
      <c r="K233" s="20"/>
      <c r="L233" s="20"/>
      <c r="M233" s="9"/>
      <c r="N233" s="8"/>
    </row>
    <row r="234" spans="2:14" s="115" customFormat="1" ht="33" customHeight="1" x14ac:dyDescent="0.25">
      <c r="B234" s="8"/>
      <c r="C234" s="8"/>
      <c r="D234" s="8"/>
      <c r="E234" s="8"/>
      <c r="F234" s="9"/>
      <c r="G234" s="9"/>
      <c r="H234" s="9"/>
      <c r="I234" s="8"/>
      <c r="J234" s="7">
        <v>46199</v>
      </c>
      <c r="K234" s="20" t="s">
        <v>880</v>
      </c>
      <c r="L234" s="20" t="s">
        <v>896</v>
      </c>
      <c r="M234" s="9">
        <v>1600000</v>
      </c>
      <c r="N234" s="8">
        <v>751435159</v>
      </c>
    </row>
    <row r="235" spans="2:14" s="115" customFormat="1" x14ac:dyDescent="0.25">
      <c r="B235" s="8"/>
      <c r="C235" s="8"/>
      <c r="D235" s="8"/>
      <c r="E235" s="8"/>
      <c r="F235" s="9"/>
      <c r="G235" s="9"/>
      <c r="H235" s="9"/>
      <c r="I235" s="8"/>
      <c r="J235" s="7"/>
      <c r="K235" s="20"/>
      <c r="L235" s="20"/>
      <c r="M235" s="9"/>
      <c r="N235" s="8"/>
    </row>
    <row r="236" spans="2:14" s="115" customFormat="1" ht="30" x14ac:dyDescent="0.25">
      <c r="B236" s="8"/>
      <c r="C236" s="8"/>
      <c r="D236" s="8"/>
      <c r="E236" s="8"/>
      <c r="F236" s="9"/>
      <c r="G236" s="9"/>
      <c r="H236" s="9"/>
      <c r="I236" s="8"/>
      <c r="J236" s="7">
        <v>46199</v>
      </c>
      <c r="K236" s="20" t="s">
        <v>885</v>
      </c>
      <c r="L236" s="20" t="s">
        <v>884</v>
      </c>
      <c r="M236" s="9">
        <v>52000</v>
      </c>
      <c r="N236" s="8">
        <v>772306796</v>
      </c>
    </row>
    <row r="237" spans="2:14" s="114" customFormat="1" x14ac:dyDescent="0.25">
      <c r="B237" s="8"/>
      <c r="C237" s="8"/>
      <c r="D237" s="8"/>
      <c r="E237" s="8"/>
      <c r="F237" s="9"/>
      <c r="G237" s="9"/>
      <c r="H237" s="9"/>
      <c r="I237" s="8"/>
      <c r="J237" s="7"/>
      <c r="K237" s="20"/>
      <c r="L237" s="20"/>
      <c r="M237" s="9"/>
      <c r="N237" s="8"/>
    </row>
    <row r="238" spans="2:14" s="114" customFormat="1" x14ac:dyDescent="0.25">
      <c r="B238" s="8"/>
      <c r="C238" s="8"/>
      <c r="D238" s="8"/>
      <c r="E238" s="8"/>
      <c r="F238" s="9"/>
      <c r="G238" s="9"/>
      <c r="H238" s="9"/>
      <c r="I238" s="8"/>
      <c r="J238" s="7">
        <v>46199</v>
      </c>
      <c r="K238" s="20" t="s">
        <v>888</v>
      </c>
      <c r="L238" s="20" t="s">
        <v>887</v>
      </c>
      <c r="M238" s="9">
        <v>2000000</v>
      </c>
      <c r="N238" s="8">
        <v>752407547</v>
      </c>
    </row>
    <row r="239" spans="2:14" s="116" customFormat="1" x14ac:dyDescent="0.25">
      <c r="B239" s="8"/>
      <c r="C239" s="8"/>
      <c r="D239" s="8"/>
      <c r="E239" s="8"/>
      <c r="F239" s="9"/>
      <c r="G239" s="9"/>
      <c r="H239" s="9"/>
      <c r="I239" s="8"/>
      <c r="J239" s="7"/>
      <c r="K239" s="20"/>
      <c r="L239" s="20"/>
      <c r="M239" s="9"/>
      <c r="N239" s="8"/>
    </row>
    <row r="240" spans="2:14" s="116" customFormat="1" x14ac:dyDescent="0.25">
      <c r="B240" s="8"/>
      <c r="C240" s="8"/>
      <c r="D240" s="8"/>
      <c r="E240" s="8"/>
      <c r="F240" s="9"/>
      <c r="G240" s="9"/>
      <c r="H240" s="9"/>
      <c r="I240" s="8"/>
      <c r="J240" s="7">
        <v>46200</v>
      </c>
      <c r="K240" s="20" t="s">
        <v>888</v>
      </c>
      <c r="L240" s="20" t="s">
        <v>889</v>
      </c>
      <c r="M240" s="9">
        <v>1230000</v>
      </c>
      <c r="N240" s="8">
        <v>752407547</v>
      </c>
    </row>
    <row r="241" spans="2:14" s="116" customFormat="1" x14ac:dyDescent="0.25">
      <c r="B241" s="8"/>
      <c r="C241" s="8"/>
      <c r="D241" s="8"/>
      <c r="E241" s="8"/>
      <c r="F241" s="9"/>
      <c r="G241" s="9"/>
      <c r="H241" s="9"/>
      <c r="I241" s="8"/>
      <c r="J241" s="7"/>
      <c r="K241" s="20"/>
      <c r="L241" s="20"/>
      <c r="M241" s="9"/>
      <c r="N241" s="8"/>
    </row>
    <row r="242" spans="2:14" s="116" customFormat="1" ht="30" x14ac:dyDescent="0.25">
      <c r="B242" s="8"/>
      <c r="C242" s="8"/>
      <c r="D242" s="8"/>
      <c r="E242" s="8"/>
      <c r="F242" s="9"/>
      <c r="G242" s="9"/>
      <c r="H242" s="9"/>
      <c r="I242" s="8"/>
      <c r="J242" s="7">
        <v>46200</v>
      </c>
      <c r="K242" s="20" t="s">
        <v>893</v>
      </c>
      <c r="L242" s="20" t="s">
        <v>892</v>
      </c>
      <c r="M242" s="9">
        <v>150000</v>
      </c>
      <c r="N242" s="8">
        <v>702523750</v>
      </c>
    </row>
    <row r="243" spans="2:14" s="116" customFormat="1" x14ac:dyDescent="0.25">
      <c r="B243" s="8"/>
      <c r="C243" s="8"/>
      <c r="D243" s="8"/>
      <c r="E243" s="8"/>
      <c r="F243" s="9"/>
      <c r="G243" s="9"/>
      <c r="H243" s="9"/>
      <c r="I243" s="8"/>
      <c r="J243" s="7"/>
      <c r="K243" s="20"/>
      <c r="L243" s="20"/>
      <c r="M243" s="9"/>
      <c r="N243" s="8"/>
    </row>
    <row r="244" spans="2:14" s="116" customFormat="1" ht="30" x14ac:dyDescent="0.25">
      <c r="B244" s="8"/>
      <c r="C244" s="8"/>
      <c r="D244" s="8"/>
      <c r="E244" s="8"/>
      <c r="F244" s="9"/>
      <c r="G244" s="9"/>
      <c r="H244" s="9"/>
      <c r="I244" s="8"/>
      <c r="J244" s="7">
        <v>46201</v>
      </c>
      <c r="K244" s="20" t="s">
        <v>854</v>
      </c>
      <c r="L244" s="20" t="s">
        <v>904</v>
      </c>
      <c r="M244" s="9">
        <f>610000+280000</f>
        <v>890000</v>
      </c>
      <c r="N244" s="8">
        <v>746136461</v>
      </c>
    </row>
    <row r="245" spans="2:14" s="116" customFormat="1" x14ac:dyDescent="0.25">
      <c r="B245" s="8"/>
      <c r="C245" s="8"/>
      <c r="D245" s="8"/>
      <c r="E245" s="8"/>
      <c r="F245" s="9"/>
      <c r="G245" s="9"/>
      <c r="H245" s="9"/>
      <c r="I245" s="8"/>
      <c r="J245" s="7"/>
      <c r="K245" s="20"/>
      <c r="L245" s="20"/>
      <c r="M245" s="9"/>
      <c r="N245" s="8"/>
    </row>
    <row r="246" spans="2:14" s="114" customFormat="1" ht="30" x14ac:dyDescent="0.25">
      <c r="B246" s="8"/>
      <c r="C246" s="8"/>
      <c r="D246" s="8"/>
      <c r="E246" s="8"/>
      <c r="F246" s="9"/>
      <c r="G246" s="9"/>
      <c r="H246" s="9"/>
      <c r="I246" s="8"/>
      <c r="J246" s="7">
        <v>46201</v>
      </c>
      <c r="K246" s="20" t="s">
        <v>232</v>
      </c>
      <c r="L246" s="20" t="s">
        <v>895</v>
      </c>
      <c r="M246" s="9">
        <v>245000</v>
      </c>
      <c r="N246" s="8">
        <v>779915273</v>
      </c>
    </row>
    <row r="247" spans="2:14" s="116" customFormat="1" x14ac:dyDescent="0.25">
      <c r="B247" s="8"/>
      <c r="C247" s="8"/>
      <c r="D247" s="8"/>
      <c r="E247" s="8"/>
      <c r="F247" s="9"/>
      <c r="G247" s="9"/>
      <c r="H247" s="9"/>
      <c r="I247" s="8"/>
      <c r="J247" s="7"/>
      <c r="K247" s="20"/>
      <c r="L247" s="20"/>
      <c r="M247" s="9"/>
      <c r="N247" s="8"/>
    </row>
    <row r="248" spans="2:14" s="117" customFormat="1" ht="30" x14ac:dyDescent="0.25">
      <c r="B248" s="8"/>
      <c r="C248" s="8"/>
      <c r="D248" s="8"/>
      <c r="E248" s="8"/>
      <c r="F248" s="9"/>
      <c r="G248" s="9"/>
      <c r="H248" s="9"/>
      <c r="I248" s="8"/>
      <c r="J248" s="7">
        <v>46201</v>
      </c>
      <c r="K248" s="20" t="s">
        <v>906</v>
      </c>
      <c r="L248" s="20" t="s">
        <v>905</v>
      </c>
      <c r="M248" s="9">
        <v>235000</v>
      </c>
      <c r="N248" s="8">
        <v>769112167</v>
      </c>
    </row>
    <row r="249" spans="2:14" s="117" customFormat="1" x14ac:dyDescent="0.25">
      <c r="B249" s="8"/>
      <c r="C249" s="8"/>
      <c r="D249" s="8"/>
      <c r="E249" s="8"/>
      <c r="F249" s="9"/>
      <c r="G249" s="9"/>
      <c r="H249" s="9"/>
      <c r="I249" s="8"/>
      <c r="J249" s="7"/>
      <c r="K249" s="20"/>
      <c r="L249" s="20"/>
      <c r="M249" s="9"/>
      <c r="N249" s="8"/>
    </row>
    <row r="250" spans="2:14" s="117" customFormat="1" ht="30" x14ac:dyDescent="0.25">
      <c r="B250" s="8"/>
      <c r="C250" s="8"/>
      <c r="D250" s="8"/>
      <c r="E250" s="8"/>
      <c r="F250" s="9"/>
      <c r="G250" s="9"/>
      <c r="H250" s="9"/>
      <c r="I250" s="8"/>
      <c r="J250" s="7">
        <v>46202</v>
      </c>
      <c r="K250" s="20" t="s">
        <v>908</v>
      </c>
      <c r="L250" s="20" t="s">
        <v>907</v>
      </c>
      <c r="M250" s="9">
        <v>400000</v>
      </c>
      <c r="N250" s="8">
        <v>776477212</v>
      </c>
    </row>
    <row r="251" spans="2:14" s="117" customFormat="1" x14ac:dyDescent="0.25">
      <c r="B251" s="8"/>
      <c r="C251" s="8"/>
      <c r="D251" s="8"/>
      <c r="E251" s="8"/>
      <c r="F251" s="9"/>
      <c r="G251" s="9"/>
      <c r="H251" s="9"/>
      <c r="I251" s="8"/>
      <c r="J251" s="7"/>
      <c r="K251" s="20"/>
      <c r="L251" s="20"/>
      <c r="M251" s="9"/>
      <c r="N251" s="8"/>
    </row>
    <row r="252" spans="2:14" s="118" customFormat="1" ht="30" x14ac:dyDescent="0.25">
      <c r="B252" s="8"/>
      <c r="C252" s="8"/>
      <c r="D252" s="8"/>
      <c r="E252" s="8"/>
      <c r="F252" s="9"/>
      <c r="G252" s="9"/>
      <c r="H252" s="9"/>
      <c r="I252" s="8"/>
      <c r="J252" s="7">
        <v>46202</v>
      </c>
      <c r="K252" s="20" t="s">
        <v>913</v>
      </c>
      <c r="L252" s="20" t="s">
        <v>912</v>
      </c>
      <c r="M252" s="9">
        <v>3350000</v>
      </c>
      <c r="N252" s="8" t="s">
        <v>911</v>
      </c>
    </row>
    <row r="253" spans="2:14" s="119" customFormat="1" x14ac:dyDescent="0.25">
      <c r="B253" s="8"/>
      <c r="C253" s="8"/>
      <c r="D253" s="8"/>
      <c r="E253" s="8"/>
      <c r="F253" s="9"/>
      <c r="G253" s="9"/>
      <c r="H253" s="9"/>
      <c r="I253" s="8"/>
      <c r="J253" s="7"/>
      <c r="K253" s="20"/>
      <c r="L253" s="20"/>
      <c r="M253" s="9"/>
      <c r="N253" s="8"/>
    </row>
    <row r="254" spans="2:14" s="118" customFormat="1" x14ac:dyDescent="0.25">
      <c r="B254" s="8"/>
      <c r="C254" s="8"/>
      <c r="D254" s="8"/>
      <c r="E254" s="8"/>
      <c r="F254" s="9"/>
      <c r="G254" s="9"/>
      <c r="H254" s="9"/>
      <c r="I254" s="8"/>
      <c r="J254" s="7"/>
      <c r="K254" s="20"/>
      <c r="L254" s="20" t="s">
        <v>914</v>
      </c>
      <c r="M254" s="9">
        <v>8000</v>
      </c>
      <c r="N254" s="8"/>
    </row>
    <row r="255" spans="2:14" s="118" customFormat="1" ht="18.75" customHeight="1" x14ac:dyDescent="0.25">
      <c r="B255" s="8"/>
      <c r="C255" s="8"/>
      <c r="D255" s="8"/>
      <c r="E255" s="8"/>
      <c r="F255" s="9"/>
      <c r="G255" s="9"/>
      <c r="H255" s="9"/>
      <c r="I255" s="8"/>
      <c r="J255" s="7">
        <v>46202</v>
      </c>
      <c r="K255" s="20" t="s">
        <v>140</v>
      </c>
      <c r="L255" s="20" t="s">
        <v>1008</v>
      </c>
      <c r="M255" s="9">
        <v>580000</v>
      </c>
      <c r="N255" s="8" t="s">
        <v>177</v>
      </c>
    </row>
    <row r="256" spans="2:14" s="118" customFormat="1" x14ac:dyDescent="0.25">
      <c r="B256" s="8"/>
      <c r="C256" s="8"/>
      <c r="D256" s="8"/>
      <c r="E256" s="8"/>
      <c r="F256" s="9"/>
      <c r="G256" s="9"/>
      <c r="H256" s="9"/>
      <c r="I256" s="8"/>
      <c r="J256" s="7"/>
      <c r="K256" s="20"/>
      <c r="L256" s="20"/>
      <c r="M256" s="9"/>
      <c r="N256" s="8"/>
    </row>
    <row r="257" spans="2:17" s="118" customFormat="1" x14ac:dyDescent="0.25">
      <c r="B257" s="8"/>
      <c r="C257" s="8"/>
      <c r="D257" s="8"/>
      <c r="E257" s="8"/>
      <c r="F257" s="9"/>
      <c r="G257" s="9"/>
      <c r="H257" s="9"/>
      <c r="I257" s="8"/>
      <c r="J257" s="7">
        <v>46202</v>
      </c>
      <c r="K257" s="20" t="s">
        <v>532</v>
      </c>
      <c r="L257" s="20" t="s">
        <v>1007</v>
      </c>
      <c r="M257" s="9">
        <v>300000</v>
      </c>
      <c r="N257" s="8" t="s">
        <v>13</v>
      </c>
    </row>
    <row r="258" spans="2:17" s="118" customFormat="1" x14ac:dyDescent="0.25">
      <c r="B258" s="8"/>
      <c r="C258" s="8"/>
      <c r="D258" s="8"/>
      <c r="E258" s="8"/>
      <c r="F258" s="9"/>
      <c r="G258" s="9"/>
      <c r="H258" s="9"/>
      <c r="I258" s="8"/>
      <c r="J258" s="7"/>
      <c r="K258" s="20"/>
      <c r="L258" s="20"/>
      <c r="M258" s="9"/>
      <c r="N258" s="8"/>
    </row>
    <row r="259" spans="2:17" s="118" customFormat="1" ht="30" x14ac:dyDescent="0.25">
      <c r="B259" s="8"/>
      <c r="C259" s="8"/>
      <c r="D259" s="8"/>
      <c r="E259" s="8"/>
      <c r="F259" s="9"/>
      <c r="G259" s="9"/>
      <c r="H259" s="9"/>
      <c r="I259" s="8"/>
      <c r="J259" s="7">
        <v>46203</v>
      </c>
      <c r="K259" s="20" t="s">
        <v>242</v>
      </c>
      <c r="L259" s="20" t="s">
        <v>915</v>
      </c>
      <c r="M259" s="9">
        <v>200000</v>
      </c>
      <c r="N259" s="8">
        <v>700742461</v>
      </c>
    </row>
    <row r="260" spans="2:17" s="118" customFormat="1" ht="30" x14ac:dyDescent="0.25">
      <c r="B260" s="8"/>
      <c r="C260" s="8"/>
      <c r="D260" s="8"/>
      <c r="E260" s="8"/>
      <c r="F260" s="9"/>
      <c r="G260" s="9"/>
      <c r="H260" s="9"/>
      <c r="I260" s="8"/>
      <c r="J260" s="7">
        <v>46203</v>
      </c>
      <c r="K260" s="20" t="s">
        <v>916</v>
      </c>
      <c r="L260" s="20" t="s">
        <v>1009</v>
      </c>
      <c r="M260" s="9">
        <v>1000000</v>
      </c>
      <c r="N260" s="8">
        <v>768583832</v>
      </c>
    </row>
    <row r="261" spans="2:17" s="118" customFormat="1" x14ac:dyDescent="0.25">
      <c r="B261" s="8"/>
      <c r="C261" s="8"/>
      <c r="D261" s="8"/>
      <c r="E261" s="8"/>
      <c r="F261" s="9"/>
      <c r="G261" s="9"/>
      <c r="H261" s="9"/>
      <c r="I261" s="8"/>
      <c r="J261" s="7"/>
      <c r="K261" s="20"/>
      <c r="L261" s="20"/>
      <c r="M261" s="9"/>
      <c r="N261" s="8"/>
    </row>
    <row r="262" spans="2:17" s="116" customFormat="1" x14ac:dyDescent="0.25">
      <c r="B262" s="8"/>
      <c r="C262" s="8"/>
      <c r="D262" s="8"/>
      <c r="E262" s="8"/>
      <c r="F262" s="9"/>
      <c r="G262" s="9"/>
      <c r="H262" s="9"/>
      <c r="I262" s="8"/>
      <c r="J262" s="7">
        <v>46203</v>
      </c>
      <c r="K262" s="20" t="s">
        <v>329</v>
      </c>
      <c r="L262" s="20" t="s">
        <v>917</v>
      </c>
      <c r="M262" s="9">
        <v>580000</v>
      </c>
      <c r="N262" s="8" t="s">
        <v>13</v>
      </c>
    </row>
    <row r="263" spans="2:17" s="116" customFormat="1" x14ac:dyDescent="0.25">
      <c r="B263" s="8"/>
      <c r="C263" s="8"/>
      <c r="D263" s="8"/>
      <c r="E263" s="8"/>
      <c r="F263" s="9"/>
      <c r="G263" s="9"/>
      <c r="H263" s="9"/>
      <c r="I263" s="8"/>
      <c r="J263" s="7"/>
      <c r="K263" s="20"/>
      <c r="L263" s="20"/>
      <c r="M263" s="9"/>
      <c r="N263" s="8"/>
    </row>
    <row r="264" spans="2:17" s="120" customFormat="1" ht="30" x14ac:dyDescent="0.25">
      <c r="B264" s="8"/>
      <c r="C264" s="8"/>
      <c r="D264" s="8"/>
      <c r="E264" s="8"/>
      <c r="F264" s="9"/>
      <c r="G264" s="9"/>
      <c r="H264" s="9"/>
      <c r="I264" s="8"/>
      <c r="J264" s="7">
        <v>46203</v>
      </c>
      <c r="K264" s="20" t="s">
        <v>919</v>
      </c>
      <c r="L264" s="20" t="s">
        <v>918</v>
      </c>
      <c r="M264" s="9">
        <v>1018000</v>
      </c>
      <c r="N264" s="8">
        <v>746136461</v>
      </c>
    </row>
    <row r="265" spans="2:17" s="120" customFormat="1" x14ac:dyDescent="0.25">
      <c r="B265" s="8"/>
      <c r="C265" s="8"/>
      <c r="D265" s="8"/>
      <c r="E265" s="8"/>
      <c r="F265" s="9"/>
      <c r="G265" s="9"/>
      <c r="H265" s="9"/>
      <c r="I265" s="8"/>
      <c r="J265" s="7"/>
      <c r="K265" s="20"/>
      <c r="L265" s="20"/>
      <c r="M265" s="9"/>
      <c r="N265" s="8"/>
    </row>
    <row r="266" spans="2:17" s="120" customFormat="1" x14ac:dyDescent="0.25">
      <c r="B266" s="8"/>
      <c r="C266" s="8"/>
      <c r="D266" s="8"/>
      <c r="E266" s="8"/>
      <c r="F266" s="9"/>
      <c r="G266" s="9"/>
      <c r="H266" s="9"/>
      <c r="I266" s="8"/>
      <c r="J266" s="7"/>
      <c r="K266" s="20"/>
      <c r="L266" s="20"/>
      <c r="M266" s="9"/>
      <c r="N266" s="8"/>
    </row>
    <row r="267" spans="2:17" s="111" customFormat="1" x14ac:dyDescent="0.25">
      <c r="B267" s="8"/>
      <c r="C267" s="8"/>
      <c r="D267" s="8"/>
      <c r="E267" s="8"/>
      <c r="F267" s="9"/>
      <c r="G267" s="9"/>
      <c r="H267" s="9"/>
      <c r="I267" s="8"/>
      <c r="J267" s="7"/>
      <c r="K267" s="20"/>
      <c r="L267" s="20"/>
      <c r="M267" s="9"/>
      <c r="N267" s="8"/>
    </row>
    <row r="268" spans="2:17" s="93" customFormat="1" x14ac:dyDescent="0.25">
      <c r="B268" s="8"/>
      <c r="C268" s="8"/>
      <c r="D268" s="8"/>
      <c r="E268" s="8"/>
      <c r="F268" s="9"/>
      <c r="G268" s="9"/>
      <c r="H268" s="9"/>
      <c r="I268" s="8"/>
      <c r="J268" s="7"/>
      <c r="K268" s="20"/>
      <c r="L268" s="20"/>
      <c r="M268" s="9"/>
      <c r="N268" s="8"/>
    </row>
    <row r="269" spans="2:17" x14ac:dyDescent="0.25">
      <c r="B269" s="8"/>
      <c r="C269" s="8"/>
      <c r="D269" s="8"/>
      <c r="E269" s="8"/>
      <c r="F269" s="9"/>
      <c r="G269" s="9"/>
      <c r="H269" s="9"/>
      <c r="I269" s="8"/>
      <c r="J269" s="7"/>
      <c r="K269" s="20"/>
      <c r="L269" s="20"/>
      <c r="M269" s="9"/>
      <c r="N269" s="8"/>
      <c r="O269" s="88"/>
      <c r="P269" s="88"/>
      <c r="Q269" s="88"/>
    </row>
    <row r="270" spans="2:17" x14ac:dyDescent="0.25">
      <c r="B270" s="8"/>
      <c r="C270" s="8"/>
      <c r="D270" s="8"/>
      <c r="E270" s="8"/>
      <c r="F270" s="9"/>
      <c r="G270" s="9"/>
      <c r="H270" s="9"/>
      <c r="I270" s="8"/>
      <c r="J270" s="7"/>
      <c r="K270" s="20"/>
      <c r="L270" s="8"/>
      <c r="M270" s="10">
        <f>SUM(M8:M269)</f>
        <v>225745200</v>
      </c>
      <c r="N270" s="8"/>
      <c r="O270" s="88"/>
      <c r="P270" s="88"/>
      <c r="Q270" s="88"/>
    </row>
    <row r="271" spans="2:17" x14ac:dyDescent="0.25">
      <c r="B271" s="3"/>
      <c r="C271" s="3" t="s">
        <v>14</v>
      </c>
      <c r="D271" s="3"/>
      <c r="E271" s="10">
        <f>SUM(E7:E40)</f>
        <v>0</v>
      </c>
      <c r="F271" s="10"/>
      <c r="G271" s="10">
        <f>SUM(G7:G120)</f>
        <v>235597500</v>
      </c>
      <c r="H271" s="10"/>
      <c r="I271" s="10"/>
      <c r="J271" s="10"/>
      <c r="K271" s="8"/>
      <c r="L271" s="10"/>
      <c r="M271" s="12"/>
      <c r="N271" s="3"/>
      <c r="O271" s="88"/>
      <c r="P271" s="88"/>
      <c r="Q271" s="88"/>
    </row>
    <row r="272" spans="2:17" x14ac:dyDescent="0.25">
      <c r="B272" s="6"/>
      <c r="C272" s="6"/>
      <c r="D272" s="6"/>
      <c r="E272" s="6"/>
      <c r="F272" s="12"/>
      <c r="G272" s="12"/>
      <c r="H272" s="12"/>
      <c r="I272" s="6"/>
      <c r="J272" s="6"/>
      <c r="K272" s="3" t="s">
        <v>14</v>
      </c>
      <c r="L272" s="6"/>
      <c r="M272" s="12"/>
      <c r="N272" s="6"/>
      <c r="O272" s="88"/>
      <c r="P272" s="88"/>
      <c r="Q272" s="88"/>
    </row>
    <row r="273" spans="2:17" x14ac:dyDescent="0.25">
      <c r="B273" s="6"/>
      <c r="C273" s="6"/>
      <c r="D273" s="6"/>
      <c r="E273" s="6"/>
      <c r="F273" s="11"/>
      <c r="G273" s="12" t="s">
        <v>13</v>
      </c>
      <c r="H273" s="12"/>
      <c r="I273" s="6"/>
      <c r="J273" s="6"/>
      <c r="K273" s="6"/>
      <c r="L273" s="6"/>
      <c r="M273" s="12"/>
      <c r="N273" s="6"/>
      <c r="O273" s="88"/>
      <c r="P273" s="88"/>
      <c r="Q273" s="88"/>
    </row>
    <row r="274" spans="2:17" x14ac:dyDescent="0.25">
      <c r="B274" s="6"/>
      <c r="C274" s="8" t="s">
        <v>15</v>
      </c>
      <c r="D274" s="8" t="s">
        <v>16</v>
      </c>
      <c r="E274" s="8"/>
      <c r="F274" s="13"/>
      <c r="G274" s="9">
        <f>G271</f>
        <v>235597500</v>
      </c>
      <c r="H274" s="12"/>
      <c r="I274" s="6"/>
      <c r="J274" s="6"/>
      <c r="K274" s="6"/>
      <c r="L274" s="6"/>
      <c r="M274" s="12"/>
      <c r="N274" s="6"/>
      <c r="O274" s="88"/>
      <c r="P274" s="88"/>
      <c r="Q274" s="88"/>
    </row>
    <row r="275" spans="2:17" ht="15.75" thickBot="1" x14ac:dyDescent="0.3">
      <c r="B275" s="6"/>
      <c r="C275" s="14"/>
      <c r="D275" s="14" t="s">
        <v>17</v>
      </c>
      <c r="E275" s="14"/>
      <c r="F275" s="15"/>
      <c r="G275" s="15">
        <f>M270</f>
        <v>225745200</v>
      </c>
      <c r="H275" s="12"/>
      <c r="I275" s="6"/>
      <c r="J275" s="6"/>
      <c r="K275" s="6"/>
      <c r="L275" s="6"/>
      <c r="M275" s="12"/>
      <c r="N275" s="6"/>
      <c r="O275" s="88"/>
      <c r="P275" s="88"/>
      <c r="Q275" s="88"/>
    </row>
    <row r="276" spans="2:17" ht="15.75" thickBot="1" x14ac:dyDescent="0.3">
      <c r="B276" s="6"/>
      <c r="C276" s="16" t="s">
        <v>18</v>
      </c>
      <c r="D276" s="17" t="s">
        <v>19</v>
      </c>
      <c r="E276" s="17"/>
      <c r="F276" s="18"/>
      <c r="G276" s="19">
        <f>G274-G275</f>
        <v>9852300</v>
      </c>
      <c r="H276" s="12"/>
      <c r="I276" s="6"/>
      <c r="J276" s="6"/>
      <c r="K276" s="6"/>
      <c r="L276" s="6"/>
      <c r="N276" s="6"/>
      <c r="O276" s="88"/>
      <c r="P276" s="88"/>
      <c r="Q276" s="88"/>
    </row>
    <row r="278" spans="2:17" x14ac:dyDescent="0.25">
      <c r="L278" s="45">
        <v>60000000</v>
      </c>
    </row>
    <row r="279" spans="2:17" x14ac:dyDescent="0.25">
      <c r="L279" s="45">
        <v>56836000</v>
      </c>
    </row>
    <row r="280" spans="2:17" x14ac:dyDescent="0.25">
      <c r="F280" t="s">
        <v>24</v>
      </c>
      <c r="G280" s="45">
        <v>1090500</v>
      </c>
      <c r="H280" t="s">
        <v>903</v>
      </c>
      <c r="L280" s="70">
        <f>L278-L279</f>
        <v>3164000</v>
      </c>
      <c r="M280" s="45">
        <v>134000</v>
      </c>
    </row>
    <row r="281" spans="2:17" x14ac:dyDescent="0.25">
      <c r="E281" s="167" t="s">
        <v>745</v>
      </c>
      <c r="F281" s="167"/>
      <c r="G281" s="45">
        <v>240000</v>
      </c>
      <c r="H281" t="s">
        <v>883</v>
      </c>
      <c r="M281" s="70">
        <f>L280-M280</f>
        <v>3030000</v>
      </c>
    </row>
    <row r="282" spans="2:17" x14ac:dyDescent="0.25">
      <c r="F282" t="s">
        <v>881</v>
      </c>
      <c r="G282" s="45">
        <v>1600000</v>
      </c>
      <c r="H282" t="s">
        <v>882</v>
      </c>
    </row>
    <row r="283" spans="2:17" x14ac:dyDescent="0.25">
      <c r="F283" t="s">
        <v>897</v>
      </c>
      <c r="G283" s="45">
        <v>1230000</v>
      </c>
      <c r="H283" t="s">
        <v>898</v>
      </c>
    </row>
    <row r="284" spans="2:17" x14ac:dyDescent="0.25">
      <c r="F284" t="s">
        <v>24</v>
      </c>
      <c r="G284" s="45">
        <v>280000</v>
      </c>
      <c r="H284" t="s">
        <v>899</v>
      </c>
      <c r="I284" s="45" t="s">
        <v>900</v>
      </c>
    </row>
    <row r="285" spans="2:17" x14ac:dyDescent="0.25">
      <c r="I285" s="45"/>
    </row>
    <row r="286" spans="2:17" x14ac:dyDescent="0.25">
      <c r="I286" s="45"/>
    </row>
  </sheetData>
  <mergeCells count="5">
    <mergeCell ref="B3:M3"/>
    <mergeCell ref="B4:M4"/>
    <mergeCell ref="B5:G5"/>
    <mergeCell ref="J5:M5"/>
    <mergeCell ref="E281:F28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228"/>
  <sheetViews>
    <sheetView tabSelected="1" topLeftCell="F204" zoomScale="85" zoomScaleNormal="85" workbookViewId="0">
      <selection activeCell="L217" sqref="L217"/>
    </sheetView>
  </sheetViews>
  <sheetFormatPr defaultRowHeight="15" x14ac:dyDescent="0.25"/>
  <cols>
    <col min="2" max="2" width="11.85546875" bestFit="1" customWidth="1"/>
    <col min="3" max="3" width="11.5703125" customWidth="1"/>
    <col min="4" max="4" width="11.140625" customWidth="1"/>
    <col min="5" max="5" width="9.28515625" bestFit="1" customWidth="1"/>
    <col min="7" max="7" width="15" bestFit="1" customWidth="1"/>
    <col min="10" max="10" width="11.85546875" bestFit="1" customWidth="1"/>
    <col min="11" max="11" width="23.140625" customWidth="1"/>
    <col min="12" max="12" width="34" customWidth="1"/>
    <col min="13" max="13" width="16" customWidth="1"/>
    <col min="14" max="14" width="15.85546875" customWidth="1"/>
  </cols>
  <sheetData>
    <row r="4" spans="2:14" ht="15.75" x14ac:dyDescent="0.25">
      <c r="B4" s="160" t="s">
        <v>20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2"/>
    </row>
    <row r="5" spans="2:14" ht="15.75" x14ac:dyDescent="0.25">
      <c r="B5" s="160" t="s">
        <v>0</v>
      </c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2"/>
    </row>
    <row r="6" spans="2:14" ht="15.75" x14ac:dyDescent="0.25">
      <c r="B6" s="161" t="s">
        <v>1</v>
      </c>
      <c r="C6" s="161"/>
      <c r="D6" s="161"/>
      <c r="E6" s="161"/>
      <c r="F6" s="161"/>
      <c r="G6" s="161"/>
      <c r="H6" s="121"/>
      <c r="I6" s="121"/>
      <c r="J6" s="161" t="s">
        <v>2</v>
      </c>
      <c r="K6" s="161"/>
      <c r="L6" s="161"/>
      <c r="M6" s="161"/>
      <c r="N6" s="2"/>
    </row>
    <row r="7" spans="2:14" ht="30" x14ac:dyDescent="0.25">
      <c r="B7" s="3" t="s">
        <v>3</v>
      </c>
      <c r="C7" s="3" t="s">
        <v>4</v>
      </c>
      <c r="D7" s="3" t="s">
        <v>5</v>
      </c>
      <c r="E7" s="4" t="s">
        <v>6</v>
      </c>
      <c r="F7" s="5" t="s">
        <v>7</v>
      </c>
      <c r="G7" s="4" t="s">
        <v>8</v>
      </c>
      <c r="H7" s="5" t="s">
        <v>9</v>
      </c>
      <c r="I7" s="3"/>
      <c r="J7" s="3" t="s">
        <v>3</v>
      </c>
      <c r="K7" s="3" t="s">
        <v>10</v>
      </c>
      <c r="L7" s="3" t="s">
        <v>11</v>
      </c>
      <c r="M7" s="4" t="s">
        <v>8</v>
      </c>
      <c r="N7" s="5" t="s">
        <v>9</v>
      </c>
    </row>
    <row r="8" spans="2:14" ht="15.75" thickBot="1" x14ac:dyDescent="0.3">
      <c r="B8" s="7"/>
      <c r="C8" s="20"/>
      <c r="D8" s="8"/>
      <c r="E8" s="8"/>
      <c r="F8" s="9"/>
      <c r="G8" s="9"/>
      <c r="H8" s="9"/>
      <c r="I8" s="8"/>
      <c r="J8" s="7"/>
      <c r="K8" s="20"/>
      <c r="L8" s="20"/>
      <c r="M8" s="49"/>
      <c r="N8" s="8"/>
    </row>
    <row r="9" spans="2:14" ht="32.25" thickBot="1" x14ac:dyDescent="0.3">
      <c r="B9" s="136">
        <v>46204</v>
      </c>
      <c r="C9" s="137" t="s">
        <v>920</v>
      </c>
      <c r="D9" s="137" t="s">
        <v>219</v>
      </c>
      <c r="E9" s="138"/>
      <c r="F9" s="139"/>
      <c r="G9" s="140">
        <f>9802300+50000</f>
        <v>9852300</v>
      </c>
      <c r="H9" s="139"/>
      <c r="I9" s="141"/>
      <c r="J9" s="136">
        <v>46205</v>
      </c>
      <c r="K9" s="137" t="s">
        <v>225</v>
      </c>
      <c r="L9" s="137" t="s">
        <v>1010</v>
      </c>
      <c r="M9" s="142">
        <v>1090000</v>
      </c>
      <c r="N9" s="138">
        <v>78474430011</v>
      </c>
    </row>
    <row r="10" spans="2:14" ht="15.75" x14ac:dyDescent="0.25">
      <c r="B10" s="136"/>
      <c r="C10" s="138"/>
      <c r="D10" s="137"/>
      <c r="E10" s="138"/>
      <c r="F10" s="139"/>
      <c r="G10" s="139"/>
      <c r="H10" s="139"/>
      <c r="I10" s="141"/>
      <c r="J10" s="136"/>
      <c r="K10" s="137"/>
      <c r="L10" s="137"/>
      <c r="M10" s="139"/>
      <c r="N10" s="137"/>
    </row>
    <row r="11" spans="2:14" ht="15.75" x14ac:dyDescent="0.25">
      <c r="B11" s="136">
        <v>46206</v>
      </c>
      <c r="C11" s="143" t="s">
        <v>729</v>
      </c>
      <c r="D11" s="144" t="s">
        <v>123</v>
      </c>
      <c r="E11" s="138"/>
      <c r="F11" s="139"/>
      <c r="G11" s="139">
        <v>20000000</v>
      </c>
      <c r="H11" s="144"/>
      <c r="I11" s="138"/>
      <c r="J11" s="136">
        <v>46205</v>
      </c>
      <c r="K11" s="137" t="s">
        <v>539</v>
      </c>
      <c r="L11" s="137" t="s">
        <v>393</v>
      </c>
      <c r="M11" s="139">
        <v>810000</v>
      </c>
      <c r="N11" s="138">
        <v>772944146</v>
      </c>
    </row>
    <row r="12" spans="2:14" ht="15.75" x14ac:dyDescent="0.25">
      <c r="B12" s="136"/>
      <c r="C12" s="137"/>
      <c r="D12" s="138"/>
      <c r="E12" s="138"/>
      <c r="F12" s="139"/>
      <c r="G12" s="139"/>
      <c r="H12" s="139"/>
      <c r="I12" s="138"/>
      <c r="J12" s="136"/>
      <c r="K12" s="143"/>
      <c r="L12" s="145"/>
      <c r="M12" s="139"/>
      <c r="N12" s="138"/>
    </row>
    <row r="13" spans="2:14" ht="19.5" customHeight="1" x14ac:dyDescent="0.25">
      <c r="B13" s="136">
        <v>46211</v>
      </c>
      <c r="C13" s="138" t="s">
        <v>729</v>
      </c>
      <c r="D13" s="138" t="s">
        <v>123</v>
      </c>
      <c r="E13" s="138"/>
      <c r="F13" s="139"/>
      <c r="G13" s="139">
        <v>20000000</v>
      </c>
      <c r="H13" s="139"/>
      <c r="I13" s="138"/>
      <c r="J13" s="136">
        <v>46205</v>
      </c>
      <c r="K13" s="143" t="s">
        <v>921</v>
      </c>
      <c r="L13" s="146" t="s">
        <v>1000</v>
      </c>
      <c r="M13" s="147">
        <v>2000000</v>
      </c>
      <c r="N13" s="138">
        <v>785227738</v>
      </c>
    </row>
    <row r="14" spans="2:14" ht="15.75" x14ac:dyDescent="0.25">
      <c r="B14" s="136"/>
      <c r="C14" s="138"/>
      <c r="D14" s="138"/>
      <c r="E14" s="138"/>
      <c r="F14" s="139"/>
      <c r="G14" s="139"/>
      <c r="H14" s="139"/>
      <c r="I14" s="138"/>
      <c r="J14" s="136"/>
      <c r="K14" s="138"/>
      <c r="L14" s="137"/>
      <c r="M14" s="139"/>
      <c r="N14" s="138"/>
    </row>
    <row r="15" spans="2:14" ht="32.25" customHeight="1" x14ac:dyDescent="0.25">
      <c r="B15" s="136">
        <v>46212</v>
      </c>
      <c r="C15" s="138" t="s">
        <v>729</v>
      </c>
      <c r="D15" s="138" t="s">
        <v>123</v>
      </c>
      <c r="E15" s="138"/>
      <c r="F15" s="139"/>
      <c r="G15" s="139">
        <v>40000000</v>
      </c>
      <c r="H15" s="139"/>
      <c r="I15" s="138"/>
      <c r="J15" s="136">
        <v>46205</v>
      </c>
      <c r="K15" s="137" t="s">
        <v>923</v>
      </c>
      <c r="L15" s="137" t="s">
        <v>922</v>
      </c>
      <c r="M15" s="139">
        <f>400000+300000+150000+200000+200000+200000</f>
        <v>1450000</v>
      </c>
      <c r="N15" s="137">
        <v>746136461</v>
      </c>
    </row>
    <row r="16" spans="2:14" s="122" customFormat="1" ht="28.5" customHeight="1" x14ac:dyDescent="0.25">
      <c r="B16" s="136">
        <v>46219</v>
      </c>
      <c r="C16" s="138" t="s">
        <v>729</v>
      </c>
      <c r="D16" s="138" t="s">
        <v>123</v>
      </c>
      <c r="E16" s="138"/>
      <c r="F16" s="139"/>
      <c r="G16" s="139">
        <v>110000000</v>
      </c>
      <c r="H16" s="139"/>
      <c r="I16" s="138"/>
      <c r="J16" s="136"/>
      <c r="K16" s="137" t="s">
        <v>923</v>
      </c>
      <c r="L16" s="137" t="s">
        <v>925</v>
      </c>
      <c r="M16" s="139">
        <v>30000</v>
      </c>
      <c r="N16" s="137"/>
    </row>
    <row r="17" spans="2:14" ht="15.75" x14ac:dyDescent="0.25">
      <c r="B17" s="138"/>
      <c r="C17" s="138"/>
      <c r="D17" s="138"/>
      <c r="E17" s="138"/>
      <c r="F17" s="139"/>
      <c r="G17" s="139"/>
      <c r="H17" s="139"/>
      <c r="I17" s="138"/>
      <c r="J17" s="136"/>
      <c r="K17" s="138"/>
      <c r="L17" s="137"/>
      <c r="M17" s="139"/>
      <c r="N17" s="138"/>
    </row>
    <row r="18" spans="2:14" ht="31.5" x14ac:dyDescent="0.25">
      <c r="B18" s="67">
        <v>46222</v>
      </c>
      <c r="C18" s="168" t="s">
        <v>861</v>
      </c>
      <c r="D18" s="168" t="s">
        <v>564</v>
      </c>
      <c r="E18" s="138"/>
      <c r="F18" s="139"/>
      <c r="G18" s="147">
        <v>150000</v>
      </c>
      <c r="H18" s="139"/>
      <c r="I18" s="138"/>
      <c r="J18" s="136">
        <v>46205</v>
      </c>
      <c r="K18" s="137" t="s">
        <v>924</v>
      </c>
      <c r="L18" s="137" t="s">
        <v>1037</v>
      </c>
      <c r="M18" s="139">
        <v>250000</v>
      </c>
      <c r="N18" s="137">
        <v>751783326</v>
      </c>
    </row>
    <row r="19" spans="2:14" ht="15.75" x14ac:dyDescent="0.25">
      <c r="B19" s="138"/>
      <c r="C19" s="138"/>
      <c r="D19" s="138"/>
      <c r="E19" s="138"/>
      <c r="F19" s="139"/>
      <c r="G19" s="139"/>
      <c r="H19" s="139"/>
      <c r="I19" s="138"/>
      <c r="J19" s="136"/>
      <c r="K19" s="138"/>
      <c r="L19" s="137"/>
      <c r="M19" s="139"/>
      <c r="N19" s="138"/>
    </row>
    <row r="20" spans="2:14" ht="15.75" x14ac:dyDescent="0.25">
      <c r="B20" s="136">
        <v>46223</v>
      </c>
      <c r="C20" s="138" t="s">
        <v>729</v>
      </c>
      <c r="D20" s="138" t="s">
        <v>123</v>
      </c>
      <c r="E20" s="138"/>
      <c r="F20" s="139"/>
      <c r="G20" s="139">
        <v>30000000</v>
      </c>
      <c r="H20" s="139"/>
      <c r="I20" s="138"/>
      <c r="J20" s="136">
        <v>46175</v>
      </c>
      <c r="K20" s="137" t="s">
        <v>143</v>
      </c>
      <c r="L20" s="137" t="s">
        <v>144</v>
      </c>
      <c r="M20" s="139">
        <v>1000000</v>
      </c>
      <c r="N20" s="138">
        <v>755262085</v>
      </c>
    </row>
    <row r="21" spans="2:14" s="123" customFormat="1" ht="15.75" x14ac:dyDescent="0.25">
      <c r="B21" s="138"/>
      <c r="C21" s="138"/>
      <c r="D21" s="138"/>
      <c r="E21" s="138"/>
      <c r="F21" s="139"/>
      <c r="G21" s="139"/>
      <c r="H21" s="139"/>
      <c r="I21" s="138"/>
      <c r="J21" s="136"/>
      <c r="K21" s="137"/>
      <c r="L21" s="137" t="s">
        <v>935</v>
      </c>
      <c r="M21" s="139">
        <v>4000</v>
      </c>
      <c r="N21" s="138"/>
    </row>
    <row r="22" spans="2:14" ht="15.75" x14ac:dyDescent="0.25">
      <c r="B22" s="138"/>
      <c r="C22" s="138"/>
      <c r="D22" s="138"/>
      <c r="E22" s="138"/>
      <c r="F22" s="139"/>
      <c r="G22" s="139"/>
      <c r="H22" s="139"/>
      <c r="I22" s="138"/>
      <c r="J22" s="136"/>
      <c r="K22" s="137"/>
      <c r="L22" s="137"/>
      <c r="M22" s="139"/>
      <c r="N22" s="138"/>
    </row>
    <row r="23" spans="2:14" ht="15.75" x14ac:dyDescent="0.25">
      <c r="B23" s="138"/>
      <c r="C23" s="138"/>
      <c r="D23" s="138"/>
      <c r="E23" s="138"/>
      <c r="F23" s="139"/>
      <c r="G23" s="139"/>
      <c r="H23" s="139"/>
      <c r="I23" s="138"/>
      <c r="J23" s="136">
        <v>46205</v>
      </c>
      <c r="K23" s="137" t="s">
        <v>250</v>
      </c>
      <c r="L23" s="137" t="s">
        <v>926</v>
      </c>
      <c r="M23" s="139">
        <v>1696000</v>
      </c>
      <c r="N23" s="138">
        <v>779915273</v>
      </c>
    </row>
    <row r="24" spans="2:14" ht="15.75" x14ac:dyDescent="0.25">
      <c r="B24" s="138"/>
      <c r="C24" s="138"/>
      <c r="D24" s="138"/>
      <c r="E24" s="138"/>
      <c r="F24" s="139"/>
      <c r="G24" s="139"/>
      <c r="H24" s="139"/>
      <c r="I24" s="138"/>
      <c r="J24" s="136"/>
      <c r="K24" s="137"/>
      <c r="L24" s="137"/>
      <c r="M24" s="139"/>
      <c r="N24" s="138"/>
    </row>
    <row r="25" spans="2:14" ht="15.75" x14ac:dyDescent="0.25">
      <c r="B25" s="138"/>
      <c r="C25" s="138"/>
      <c r="D25" s="138"/>
      <c r="E25" s="138"/>
      <c r="F25" s="139"/>
      <c r="G25" s="139"/>
      <c r="H25" s="139"/>
      <c r="I25" s="138"/>
      <c r="J25" s="136">
        <v>46205</v>
      </c>
      <c r="K25" s="138" t="s">
        <v>936</v>
      </c>
      <c r="L25" s="137" t="s">
        <v>927</v>
      </c>
      <c r="M25" s="139">
        <v>430000</v>
      </c>
      <c r="N25" s="138">
        <v>746136461</v>
      </c>
    </row>
    <row r="26" spans="2:14" ht="15.75" x14ac:dyDescent="0.25">
      <c r="B26" s="138"/>
      <c r="C26" s="138"/>
      <c r="D26" s="138"/>
      <c r="E26" s="138"/>
      <c r="F26" s="139"/>
      <c r="G26" s="139"/>
      <c r="H26" s="139"/>
      <c r="I26" s="138"/>
      <c r="J26" s="148"/>
      <c r="K26" s="137"/>
      <c r="L26" s="137"/>
      <c r="M26" s="139"/>
      <c r="N26" s="138"/>
    </row>
    <row r="27" spans="2:14" ht="15.75" x14ac:dyDescent="0.25">
      <c r="B27" s="138"/>
      <c r="C27" s="138"/>
      <c r="D27" s="138"/>
      <c r="E27" s="138"/>
      <c r="F27" s="139"/>
      <c r="G27" s="139"/>
      <c r="H27" s="139"/>
      <c r="I27" s="138"/>
      <c r="J27" s="136">
        <v>46206</v>
      </c>
      <c r="K27" s="138" t="s">
        <v>937</v>
      </c>
      <c r="L27" s="137" t="s">
        <v>928</v>
      </c>
      <c r="M27" s="139">
        <v>500000</v>
      </c>
      <c r="N27" s="138">
        <v>752337601</v>
      </c>
    </row>
    <row r="28" spans="2:14" ht="15.75" x14ac:dyDescent="0.25">
      <c r="B28" s="138"/>
      <c r="C28" s="138"/>
      <c r="D28" s="138"/>
      <c r="E28" s="138"/>
      <c r="F28" s="139"/>
      <c r="G28" s="139"/>
      <c r="H28" s="139"/>
      <c r="I28" s="138"/>
      <c r="J28" s="136"/>
      <c r="K28" s="138"/>
      <c r="L28" s="137"/>
      <c r="M28" s="139"/>
      <c r="N28" s="138"/>
    </row>
    <row r="29" spans="2:14" ht="15.75" x14ac:dyDescent="0.25">
      <c r="B29" s="138"/>
      <c r="C29" s="138"/>
      <c r="D29" s="138"/>
      <c r="E29" s="138"/>
      <c r="F29" s="139"/>
      <c r="G29" s="139"/>
      <c r="H29" s="139"/>
      <c r="I29" s="138"/>
      <c r="J29" s="136">
        <v>46206</v>
      </c>
      <c r="K29" s="138" t="s">
        <v>938</v>
      </c>
      <c r="L29" s="137" t="s">
        <v>929</v>
      </c>
      <c r="M29" s="139">
        <v>230000</v>
      </c>
      <c r="N29" s="138">
        <v>785323217</v>
      </c>
    </row>
    <row r="30" spans="2:14" ht="15.75" x14ac:dyDescent="0.25">
      <c r="B30" s="138"/>
      <c r="C30" s="138"/>
      <c r="D30" s="138"/>
      <c r="E30" s="138"/>
      <c r="F30" s="139"/>
      <c r="G30" s="139"/>
      <c r="H30" s="139"/>
      <c r="I30" s="138"/>
      <c r="J30" s="136"/>
      <c r="K30" s="138"/>
      <c r="L30" s="137"/>
      <c r="M30" s="139"/>
      <c r="N30" s="138"/>
    </row>
    <row r="31" spans="2:14" ht="15.75" x14ac:dyDescent="0.25">
      <c r="B31" s="138"/>
      <c r="C31" s="138"/>
      <c r="D31" s="138"/>
      <c r="E31" s="138"/>
      <c r="F31" s="139"/>
      <c r="G31" s="139"/>
      <c r="H31" s="139"/>
      <c r="I31" s="138"/>
      <c r="J31" s="136">
        <v>46206</v>
      </c>
      <c r="K31" s="138" t="s">
        <v>143</v>
      </c>
      <c r="L31" s="137" t="s">
        <v>930</v>
      </c>
      <c r="M31" s="139">
        <v>800000</v>
      </c>
      <c r="N31" s="138">
        <v>755262085</v>
      </c>
    </row>
    <row r="32" spans="2:14" ht="15.75" x14ac:dyDescent="0.25">
      <c r="B32" s="138"/>
      <c r="C32" s="138"/>
      <c r="D32" s="138"/>
      <c r="E32" s="138"/>
      <c r="F32" s="139"/>
      <c r="G32" s="139"/>
      <c r="H32" s="139"/>
      <c r="I32" s="138"/>
      <c r="J32" s="136"/>
      <c r="K32" s="137"/>
      <c r="L32" s="137"/>
      <c r="M32" s="139"/>
      <c r="N32" s="137"/>
    </row>
    <row r="33" spans="2:14" ht="15.75" x14ac:dyDescent="0.25">
      <c r="B33" s="138"/>
      <c r="C33" s="138"/>
      <c r="D33" s="138"/>
      <c r="E33" s="138"/>
      <c r="F33" s="139"/>
      <c r="G33" s="139"/>
      <c r="H33" s="139"/>
      <c r="I33" s="138"/>
      <c r="J33" s="136">
        <v>46206</v>
      </c>
      <c r="K33" s="138" t="s">
        <v>772</v>
      </c>
      <c r="L33" s="137" t="s">
        <v>939</v>
      </c>
      <c r="M33" s="139">
        <v>297000</v>
      </c>
      <c r="N33" s="137">
        <v>754834591</v>
      </c>
    </row>
    <row r="34" spans="2:14" ht="15.75" x14ac:dyDescent="0.25">
      <c r="B34" s="138"/>
      <c r="C34" s="138"/>
      <c r="D34" s="138"/>
      <c r="E34" s="138"/>
      <c r="F34" s="139"/>
      <c r="G34" s="139"/>
      <c r="H34" s="139"/>
      <c r="I34" s="138"/>
      <c r="J34" s="136"/>
      <c r="K34" s="138"/>
      <c r="L34" s="137"/>
      <c r="M34" s="139"/>
      <c r="N34" s="138"/>
    </row>
    <row r="35" spans="2:14" ht="15.75" x14ac:dyDescent="0.25">
      <c r="B35" s="138"/>
      <c r="C35" s="138"/>
      <c r="D35" s="138"/>
      <c r="E35" s="138"/>
      <c r="F35" s="139"/>
      <c r="G35" s="139"/>
      <c r="H35" s="139"/>
      <c r="I35" s="138"/>
      <c r="J35" s="136">
        <v>46145</v>
      </c>
      <c r="K35" s="137" t="s">
        <v>940</v>
      </c>
      <c r="L35" s="137" t="s">
        <v>931</v>
      </c>
      <c r="M35" s="139">
        <v>180000</v>
      </c>
      <c r="N35" s="138">
        <v>709334385</v>
      </c>
    </row>
    <row r="36" spans="2:14" ht="15.75" x14ac:dyDescent="0.25">
      <c r="B36" s="138"/>
      <c r="C36" s="138"/>
      <c r="D36" s="138"/>
      <c r="E36" s="138"/>
      <c r="F36" s="139"/>
      <c r="G36" s="139"/>
      <c r="H36" s="139"/>
      <c r="I36" s="138"/>
      <c r="J36" s="136"/>
      <c r="K36" s="138"/>
      <c r="L36" s="137"/>
      <c r="M36" s="139"/>
      <c r="N36" s="138"/>
    </row>
    <row r="37" spans="2:14" ht="15.75" x14ac:dyDescent="0.25">
      <c r="B37" s="138"/>
      <c r="C37" s="138"/>
      <c r="D37" s="138"/>
      <c r="E37" s="138"/>
      <c r="F37" s="139"/>
      <c r="G37" s="139"/>
      <c r="H37" s="139"/>
      <c r="I37" s="138"/>
      <c r="J37" s="136">
        <v>46206</v>
      </c>
      <c r="K37" s="138" t="s">
        <v>941</v>
      </c>
      <c r="L37" s="137" t="s">
        <v>932</v>
      </c>
      <c r="M37" s="139">
        <v>4000000</v>
      </c>
      <c r="N37" s="138">
        <v>748923092</v>
      </c>
    </row>
    <row r="38" spans="2:14" ht="15.75" x14ac:dyDescent="0.25">
      <c r="B38" s="138"/>
      <c r="C38" s="138"/>
      <c r="D38" s="138"/>
      <c r="E38" s="138"/>
      <c r="F38" s="139"/>
      <c r="G38" s="139"/>
      <c r="H38" s="139"/>
      <c r="I38" s="138"/>
      <c r="J38" s="136"/>
      <c r="K38" s="137"/>
      <c r="L38" s="137"/>
      <c r="M38" s="139"/>
      <c r="N38" s="138"/>
    </row>
    <row r="39" spans="2:14" ht="15.75" x14ac:dyDescent="0.25">
      <c r="B39" s="138"/>
      <c r="C39" s="138"/>
      <c r="D39" s="138"/>
      <c r="E39" s="138"/>
      <c r="F39" s="139"/>
      <c r="G39" s="139"/>
      <c r="H39" s="139"/>
      <c r="I39" s="138"/>
      <c r="J39" s="136">
        <v>46206</v>
      </c>
      <c r="K39" s="138" t="s">
        <v>942</v>
      </c>
      <c r="L39" s="137" t="s">
        <v>933</v>
      </c>
      <c r="M39" s="139">
        <v>2000000</v>
      </c>
      <c r="N39" s="138">
        <v>705667259</v>
      </c>
    </row>
    <row r="40" spans="2:14" ht="15.75" x14ac:dyDescent="0.25">
      <c r="B40" s="138"/>
      <c r="C40" s="138"/>
      <c r="D40" s="138"/>
      <c r="E40" s="138"/>
      <c r="F40" s="139"/>
      <c r="G40" s="139"/>
      <c r="H40" s="139"/>
      <c r="I40" s="138"/>
      <c r="J40" s="136"/>
      <c r="K40" s="137"/>
      <c r="L40" s="137"/>
      <c r="M40" s="139"/>
      <c r="N40" s="138"/>
    </row>
    <row r="41" spans="2:14" ht="31.5" x14ac:dyDescent="0.25">
      <c r="B41" s="138"/>
      <c r="C41" s="138"/>
      <c r="D41" s="138"/>
      <c r="E41" s="138"/>
      <c r="F41" s="139"/>
      <c r="G41" s="139"/>
      <c r="H41" s="139"/>
      <c r="I41" s="138"/>
      <c r="J41" s="136">
        <v>46206</v>
      </c>
      <c r="K41" s="137" t="s">
        <v>944</v>
      </c>
      <c r="L41" s="137" t="s">
        <v>933</v>
      </c>
      <c r="M41" s="139">
        <v>600000</v>
      </c>
      <c r="N41" s="137" t="s">
        <v>943</v>
      </c>
    </row>
    <row r="42" spans="2:14" ht="15.75" x14ac:dyDescent="0.25">
      <c r="B42" s="138"/>
      <c r="C42" s="138"/>
      <c r="D42" s="138"/>
      <c r="E42" s="138"/>
      <c r="F42" s="139"/>
      <c r="G42" s="139"/>
      <c r="H42" s="139"/>
      <c r="I42" s="138"/>
      <c r="J42" s="136"/>
      <c r="K42" s="137"/>
      <c r="L42" s="137"/>
      <c r="M42" s="139"/>
      <c r="N42" s="138"/>
    </row>
    <row r="43" spans="2:14" ht="15.75" x14ac:dyDescent="0.25">
      <c r="B43" s="138"/>
      <c r="C43" s="138"/>
      <c r="D43" s="138"/>
      <c r="E43" s="138"/>
      <c r="F43" s="139"/>
      <c r="G43" s="139"/>
      <c r="H43" s="139"/>
      <c r="I43" s="138"/>
      <c r="J43" s="136">
        <v>46206</v>
      </c>
      <c r="K43" s="137" t="s">
        <v>945</v>
      </c>
      <c r="L43" s="137" t="s">
        <v>933</v>
      </c>
      <c r="M43" s="139">
        <v>1000000</v>
      </c>
      <c r="N43" s="138">
        <v>762074286</v>
      </c>
    </row>
    <row r="44" spans="2:14" ht="15.75" x14ac:dyDescent="0.25">
      <c r="B44" s="138"/>
      <c r="C44" s="138"/>
      <c r="D44" s="138"/>
      <c r="E44" s="138"/>
      <c r="F44" s="139"/>
      <c r="G44" s="139"/>
      <c r="H44" s="139"/>
      <c r="I44" s="138"/>
      <c r="J44" s="136"/>
      <c r="K44" s="137"/>
      <c r="L44" s="137"/>
      <c r="M44" s="139"/>
      <c r="N44" s="138"/>
    </row>
    <row r="45" spans="2:14" ht="15.75" x14ac:dyDescent="0.25">
      <c r="B45" s="138"/>
      <c r="C45" s="138"/>
      <c r="D45" s="138"/>
      <c r="E45" s="138"/>
      <c r="F45" s="139"/>
      <c r="G45" s="139"/>
      <c r="H45" s="139"/>
      <c r="I45" s="138"/>
      <c r="J45" s="136">
        <v>46206</v>
      </c>
      <c r="K45" s="137" t="s">
        <v>936</v>
      </c>
      <c r="L45" s="137" t="s">
        <v>934</v>
      </c>
      <c r="M45" s="139">
        <v>10000</v>
      </c>
      <c r="N45" s="138">
        <v>746136461</v>
      </c>
    </row>
    <row r="46" spans="2:14" ht="15.75" x14ac:dyDescent="0.25">
      <c r="B46" s="138"/>
      <c r="C46" s="138"/>
      <c r="D46" s="138"/>
      <c r="E46" s="138"/>
      <c r="F46" s="139"/>
      <c r="G46" s="139"/>
      <c r="H46" s="139"/>
      <c r="I46" s="138"/>
      <c r="J46" s="136"/>
      <c r="K46" s="137"/>
      <c r="L46" s="137" t="s">
        <v>935</v>
      </c>
      <c r="M46" s="139">
        <v>4000</v>
      </c>
      <c r="N46" s="138"/>
    </row>
    <row r="47" spans="2:14" ht="15.75" x14ac:dyDescent="0.25">
      <c r="B47" s="138"/>
      <c r="C47" s="138"/>
      <c r="D47" s="138"/>
      <c r="E47" s="138"/>
      <c r="F47" s="139"/>
      <c r="G47" s="139"/>
      <c r="H47" s="139"/>
      <c r="I47" s="138"/>
      <c r="J47" s="136"/>
      <c r="K47" s="137"/>
      <c r="L47" s="137"/>
      <c r="M47" s="139"/>
      <c r="N47" s="138"/>
    </row>
    <row r="48" spans="2:14" ht="15.75" x14ac:dyDescent="0.25">
      <c r="B48" s="138"/>
      <c r="C48" s="138"/>
      <c r="D48" s="138"/>
      <c r="E48" s="138"/>
      <c r="F48" s="139"/>
      <c r="G48" s="139"/>
      <c r="H48" s="139"/>
      <c r="I48" s="138"/>
      <c r="J48" s="136">
        <v>46207</v>
      </c>
      <c r="K48" s="137" t="s">
        <v>946</v>
      </c>
      <c r="L48" s="137" t="s">
        <v>398</v>
      </c>
      <c r="M48" s="139">
        <v>170000</v>
      </c>
      <c r="N48" s="138">
        <v>774594652</v>
      </c>
    </row>
    <row r="49" spans="2:14" ht="15.75" x14ac:dyDescent="0.25">
      <c r="B49" s="138"/>
      <c r="C49" s="138"/>
      <c r="D49" s="138"/>
      <c r="E49" s="138"/>
      <c r="F49" s="139"/>
      <c r="G49" s="139"/>
      <c r="H49" s="139"/>
      <c r="I49" s="138"/>
      <c r="J49" s="136"/>
      <c r="K49" s="137"/>
      <c r="L49" s="137"/>
      <c r="M49" s="139"/>
      <c r="N49" s="138"/>
    </row>
    <row r="50" spans="2:14" s="124" customFormat="1" ht="15.75" x14ac:dyDescent="0.25">
      <c r="B50" s="138"/>
      <c r="C50" s="138"/>
      <c r="D50" s="138"/>
      <c r="E50" s="138"/>
      <c r="F50" s="139"/>
      <c r="G50" s="139"/>
      <c r="H50" s="139"/>
      <c r="I50" s="138"/>
      <c r="J50" s="136">
        <v>46206</v>
      </c>
      <c r="K50" s="137" t="s">
        <v>408</v>
      </c>
      <c r="L50" s="137" t="s">
        <v>947</v>
      </c>
      <c r="M50" s="139">
        <v>26000</v>
      </c>
      <c r="N50" s="138">
        <v>792505557</v>
      </c>
    </row>
    <row r="51" spans="2:14" ht="15.75" x14ac:dyDescent="0.25">
      <c r="B51" s="138"/>
      <c r="C51" s="138"/>
      <c r="D51" s="138"/>
      <c r="E51" s="138"/>
      <c r="F51" s="139"/>
      <c r="G51" s="139"/>
      <c r="H51" s="139"/>
      <c r="I51" s="138"/>
      <c r="J51" s="136">
        <v>46208</v>
      </c>
      <c r="K51" s="137" t="s">
        <v>949</v>
      </c>
      <c r="L51" s="137" t="s">
        <v>948</v>
      </c>
      <c r="M51" s="139">
        <v>500000</v>
      </c>
      <c r="N51" s="138">
        <v>703751728</v>
      </c>
    </row>
    <row r="52" spans="2:14" ht="15.75" x14ac:dyDescent="0.25">
      <c r="B52" s="138"/>
      <c r="C52" s="138"/>
      <c r="D52" s="138"/>
      <c r="E52" s="138"/>
      <c r="F52" s="139"/>
      <c r="G52" s="139"/>
      <c r="H52" s="139"/>
      <c r="I52" s="138"/>
      <c r="J52" s="136"/>
      <c r="K52" s="137"/>
      <c r="L52" s="137"/>
      <c r="M52" s="139"/>
      <c r="N52" s="138"/>
    </row>
    <row r="53" spans="2:14" ht="15.75" x14ac:dyDescent="0.25">
      <c r="B53" s="138"/>
      <c r="C53" s="138"/>
      <c r="D53" s="138"/>
      <c r="E53" s="138"/>
      <c r="F53" s="139"/>
      <c r="G53" s="139"/>
      <c r="H53" s="139"/>
      <c r="I53" s="138"/>
      <c r="J53" s="136">
        <v>46209</v>
      </c>
      <c r="K53" s="137" t="s">
        <v>871</v>
      </c>
      <c r="L53" s="137" t="s">
        <v>950</v>
      </c>
      <c r="M53" s="139">
        <v>2190000</v>
      </c>
      <c r="N53" s="138">
        <v>772939292</v>
      </c>
    </row>
    <row r="54" spans="2:14" s="124" customFormat="1" ht="15.75" x14ac:dyDescent="0.25">
      <c r="B54" s="138"/>
      <c r="C54" s="138"/>
      <c r="D54" s="138"/>
      <c r="E54" s="138"/>
      <c r="F54" s="139"/>
      <c r="G54" s="139"/>
      <c r="H54" s="139"/>
      <c r="I54" s="138"/>
      <c r="J54" s="136"/>
      <c r="K54" s="137"/>
      <c r="L54" s="137"/>
      <c r="M54" s="139"/>
      <c r="N54" s="138"/>
    </row>
    <row r="55" spans="2:14" ht="32.25" customHeight="1" x14ac:dyDescent="0.25">
      <c r="B55" s="138"/>
      <c r="C55" s="138"/>
      <c r="D55" s="138"/>
      <c r="E55" s="138"/>
      <c r="F55" s="139"/>
      <c r="G55" s="139"/>
      <c r="H55" s="139"/>
      <c r="I55" s="138"/>
      <c r="J55" s="136">
        <v>46209</v>
      </c>
      <c r="K55" s="137" t="s">
        <v>952</v>
      </c>
      <c r="L55" s="137" t="s">
        <v>951</v>
      </c>
      <c r="M55" s="139">
        <v>2045000</v>
      </c>
      <c r="N55" s="138">
        <v>706808848</v>
      </c>
    </row>
    <row r="56" spans="2:14" ht="15.75" x14ac:dyDescent="0.25">
      <c r="B56" s="138"/>
      <c r="C56" s="138"/>
      <c r="D56" s="138"/>
      <c r="E56" s="138"/>
      <c r="F56" s="139"/>
      <c r="G56" s="139"/>
      <c r="H56" s="139"/>
      <c r="I56" s="138"/>
      <c r="J56" s="136"/>
      <c r="K56" s="137"/>
      <c r="L56" s="137"/>
      <c r="M56" s="139"/>
      <c r="N56" s="138"/>
    </row>
    <row r="57" spans="2:14" ht="30" customHeight="1" x14ac:dyDescent="0.25">
      <c r="B57" s="138"/>
      <c r="C57" s="138"/>
      <c r="D57" s="138"/>
      <c r="E57" s="138"/>
      <c r="F57" s="139"/>
      <c r="G57" s="139"/>
      <c r="H57" s="139"/>
      <c r="I57" s="138"/>
      <c r="J57" s="136">
        <v>46209</v>
      </c>
      <c r="K57" s="137" t="s">
        <v>936</v>
      </c>
      <c r="L57" s="137" t="s">
        <v>953</v>
      </c>
      <c r="M57" s="139">
        <v>195000</v>
      </c>
      <c r="N57" s="138">
        <v>746136461</v>
      </c>
    </row>
    <row r="58" spans="2:14" ht="15.75" x14ac:dyDescent="0.25">
      <c r="B58" s="138"/>
      <c r="C58" s="138"/>
      <c r="D58" s="138"/>
      <c r="E58" s="138"/>
      <c r="F58" s="139"/>
      <c r="G58" s="139"/>
      <c r="H58" s="139"/>
      <c r="I58" s="138"/>
      <c r="J58" s="136"/>
      <c r="K58" s="137"/>
      <c r="L58" s="137"/>
      <c r="M58" s="139"/>
      <c r="N58" s="138"/>
    </row>
    <row r="59" spans="2:14" ht="31.5" x14ac:dyDescent="0.25">
      <c r="B59" s="138"/>
      <c r="C59" s="138"/>
      <c r="D59" s="138"/>
      <c r="E59" s="138"/>
      <c r="F59" s="139"/>
      <c r="G59" s="139"/>
      <c r="H59" s="139"/>
      <c r="I59" s="138"/>
      <c r="J59" s="136">
        <v>46209</v>
      </c>
      <c r="K59" s="137" t="s">
        <v>955</v>
      </c>
      <c r="L59" s="137" t="s">
        <v>954</v>
      </c>
      <c r="M59" s="139">
        <v>1000000</v>
      </c>
      <c r="N59" s="138">
        <v>746136461</v>
      </c>
    </row>
    <row r="60" spans="2:14" ht="15.75" x14ac:dyDescent="0.25">
      <c r="B60" s="138"/>
      <c r="C60" s="138"/>
      <c r="D60" s="138"/>
      <c r="E60" s="138"/>
      <c r="F60" s="139"/>
      <c r="G60" s="139"/>
      <c r="H60" s="139"/>
      <c r="I60" s="138"/>
      <c r="J60" s="136">
        <v>46209</v>
      </c>
      <c r="K60" s="137" t="s">
        <v>957</v>
      </c>
      <c r="L60" s="137" t="s">
        <v>956</v>
      </c>
      <c r="M60" s="139">
        <v>1000000</v>
      </c>
      <c r="N60" s="138">
        <v>757450544</v>
      </c>
    </row>
    <row r="61" spans="2:14" ht="29.25" customHeight="1" x14ac:dyDescent="0.25">
      <c r="B61" s="138"/>
      <c r="C61" s="138"/>
      <c r="D61" s="138"/>
      <c r="E61" s="138"/>
      <c r="F61" s="139"/>
      <c r="G61" s="139"/>
      <c r="H61" s="139"/>
      <c r="I61" s="138"/>
      <c r="J61" s="136"/>
      <c r="K61" s="137"/>
      <c r="L61" s="137" t="s">
        <v>958</v>
      </c>
      <c r="M61" s="139">
        <v>17000</v>
      </c>
      <c r="N61" s="138"/>
    </row>
    <row r="62" spans="2:14" s="124" customFormat="1" ht="14.25" customHeight="1" x14ac:dyDescent="0.25">
      <c r="B62" s="138"/>
      <c r="C62" s="138"/>
      <c r="D62" s="138"/>
      <c r="E62" s="138"/>
      <c r="F62" s="139"/>
      <c r="G62" s="139"/>
      <c r="H62" s="139"/>
      <c r="I62" s="138"/>
      <c r="J62" s="136"/>
      <c r="K62" s="137"/>
      <c r="L62" s="137"/>
      <c r="M62" s="139"/>
      <c r="N62" s="138"/>
    </row>
    <row r="63" spans="2:14" s="124" customFormat="1" ht="14.25" customHeight="1" x14ac:dyDescent="0.25">
      <c r="B63" s="138"/>
      <c r="C63" s="138"/>
      <c r="D63" s="138"/>
      <c r="E63" s="138"/>
      <c r="F63" s="139"/>
      <c r="G63" s="139"/>
      <c r="H63" s="139"/>
      <c r="I63" s="138"/>
      <c r="J63" s="136">
        <v>46209</v>
      </c>
      <c r="K63" s="137" t="s">
        <v>960</v>
      </c>
      <c r="L63" s="137" t="s">
        <v>959</v>
      </c>
      <c r="M63" s="139">
        <v>150000</v>
      </c>
      <c r="N63" s="138" t="s">
        <v>13</v>
      </c>
    </row>
    <row r="64" spans="2:14" ht="16.5" customHeight="1" x14ac:dyDescent="0.25">
      <c r="B64" s="138"/>
      <c r="C64" s="138"/>
      <c r="D64" s="138"/>
      <c r="E64" s="138"/>
      <c r="F64" s="139"/>
      <c r="G64" s="139"/>
      <c r="H64" s="139"/>
      <c r="I64" s="138"/>
      <c r="J64" s="136">
        <v>46209</v>
      </c>
      <c r="K64" s="137" t="s">
        <v>962</v>
      </c>
      <c r="L64" s="137" t="s">
        <v>961</v>
      </c>
      <c r="M64" s="139">
        <v>12000</v>
      </c>
      <c r="N64" s="138" t="s">
        <v>13</v>
      </c>
    </row>
    <row r="65" spans="2:14" ht="15.75" x14ac:dyDescent="0.25">
      <c r="B65" s="138"/>
      <c r="C65" s="138"/>
      <c r="D65" s="138"/>
      <c r="E65" s="138"/>
      <c r="F65" s="139"/>
      <c r="G65" s="139"/>
      <c r="H65" s="139"/>
      <c r="I65" s="138"/>
      <c r="J65" s="136"/>
      <c r="K65" s="137"/>
      <c r="L65" s="137"/>
      <c r="M65" s="139"/>
      <c r="N65" s="138"/>
    </row>
    <row r="66" spans="2:14" ht="15.75" x14ac:dyDescent="0.25">
      <c r="B66" s="138"/>
      <c r="C66" s="138"/>
      <c r="D66" s="138"/>
      <c r="E66" s="138"/>
      <c r="F66" s="139"/>
      <c r="G66" s="139"/>
      <c r="H66" s="139"/>
      <c r="I66" s="138"/>
      <c r="J66" s="136">
        <v>46209</v>
      </c>
      <c r="K66" s="137" t="s">
        <v>964</v>
      </c>
      <c r="L66" s="137" t="s">
        <v>963</v>
      </c>
      <c r="M66" s="139">
        <v>50000</v>
      </c>
      <c r="N66" s="138" t="s">
        <v>13</v>
      </c>
    </row>
    <row r="67" spans="2:14" ht="15.75" x14ac:dyDescent="0.25">
      <c r="B67" s="138"/>
      <c r="C67" s="138"/>
      <c r="D67" s="138"/>
      <c r="E67" s="138"/>
      <c r="F67" s="139"/>
      <c r="G67" s="139"/>
      <c r="H67" s="139"/>
      <c r="I67" s="138"/>
      <c r="J67" s="136"/>
      <c r="K67" s="137"/>
      <c r="L67" s="137"/>
      <c r="M67" s="139"/>
      <c r="N67" s="138"/>
    </row>
    <row r="68" spans="2:14" ht="21" customHeight="1" x14ac:dyDescent="0.25">
      <c r="B68" s="138"/>
      <c r="C68" s="138"/>
      <c r="D68" s="138"/>
      <c r="E68" s="138"/>
      <c r="F68" s="139"/>
      <c r="G68" s="139"/>
      <c r="H68" s="139"/>
      <c r="I68" s="138"/>
      <c r="J68" s="136">
        <v>46209</v>
      </c>
      <c r="K68" s="137" t="s">
        <v>232</v>
      </c>
      <c r="L68" s="137" t="s">
        <v>966</v>
      </c>
      <c r="M68" s="139">
        <v>100000</v>
      </c>
      <c r="N68" s="138">
        <v>779915273</v>
      </c>
    </row>
    <row r="69" spans="2:14" ht="15.75" x14ac:dyDescent="0.25">
      <c r="B69" s="138"/>
      <c r="C69" s="138"/>
      <c r="D69" s="138"/>
      <c r="E69" s="138"/>
      <c r="F69" s="139"/>
      <c r="G69" s="139"/>
      <c r="H69" s="139"/>
      <c r="I69" s="138"/>
      <c r="J69" s="136"/>
      <c r="K69" s="137"/>
      <c r="L69" s="137"/>
      <c r="M69" s="139"/>
      <c r="N69" s="138"/>
    </row>
    <row r="70" spans="2:14" ht="15.75" x14ac:dyDescent="0.25">
      <c r="B70" s="138"/>
      <c r="C70" s="138"/>
      <c r="D70" s="138"/>
      <c r="E70" s="138"/>
      <c r="F70" s="139"/>
      <c r="G70" s="139"/>
      <c r="H70" s="139"/>
      <c r="I70" s="138"/>
      <c r="J70" s="136">
        <v>46209</v>
      </c>
      <c r="K70" s="137" t="s">
        <v>968</v>
      </c>
      <c r="L70" s="137" t="s">
        <v>967</v>
      </c>
      <c r="M70" s="139">
        <v>1000000</v>
      </c>
      <c r="N70" s="138">
        <v>752300893</v>
      </c>
    </row>
    <row r="71" spans="2:14" ht="15.75" x14ac:dyDescent="0.25">
      <c r="B71" s="138"/>
      <c r="C71" s="138"/>
      <c r="D71" s="138"/>
      <c r="E71" s="138"/>
      <c r="F71" s="139"/>
      <c r="G71" s="139"/>
      <c r="H71" s="139"/>
      <c r="I71" s="138"/>
      <c r="J71" s="136"/>
      <c r="K71" s="137"/>
      <c r="L71" s="137"/>
      <c r="M71" s="139"/>
      <c r="N71" s="138"/>
    </row>
    <row r="72" spans="2:14" ht="15.75" x14ac:dyDescent="0.25">
      <c r="B72" s="138"/>
      <c r="C72" s="138"/>
      <c r="D72" s="138"/>
      <c r="E72" s="138"/>
      <c r="F72" s="139"/>
      <c r="G72" s="139"/>
      <c r="H72" s="139"/>
      <c r="I72" s="138"/>
      <c r="J72" s="136">
        <v>46210</v>
      </c>
      <c r="K72" s="137" t="s">
        <v>969</v>
      </c>
      <c r="L72" s="137" t="s">
        <v>970</v>
      </c>
      <c r="M72" s="139">
        <v>100000</v>
      </c>
      <c r="N72" s="138">
        <v>771452920</v>
      </c>
    </row>
    <row r="73" spans="2:14" ht="15.75" x14ac:dyDescent="0.25">
      <c r="B73" s="138"/>
      <c r="C73" s="138"/>
      <c r="D73" s="138"/>
      <c r="E73" s="138"/>
      <c r="F73" s="139"/>
      <c r="G73" s="139"/>
      <c r="H73" s="139"/>
      <c r="I73" s="138"/>
      <c r="J73" s="136"/>
      <c r="K73" s="137"/>
      <c r="L73" s="137"/>
      <c r="M73" s="139"/>
      <c r="N73" s="138"/>
    </row>
    <row r="74" spans="2:14" ht="15.75" x14ac:dyDescent="0.25">
      <c r="B74" s="138"/>
      <c r="C74" s="138"/>
      <c r="D74" s="138"/>
      <c r="E74" s="138"/>
      <c r="F74" s="139"/>
      <c r="G74" s="139"/>
      <c r="H74" s="139"/>
      <c r="I74" s="138"/>
      <c r="J74" s="136">
        <v>46210</v>
      </c>
      <c r="K74" s="137" t="s">
        <v>854</v>
      </c>
      <c r="L74" s="137" t="s">
        <v>971</v>
      </c>
      <c r="M74" s="139">
        <v>145000</v>
      </c>
      <c r="N74" s="138">
        <v>746136461</v>
      </c>
    </row>
    <row r="75" spans="2:14" ht="15.75" x14ac:dyDescent="0.25">
      <c r="B75" s="138"/>
      <c r="C75" s="138"/>
      <c r="D75" s="138"/>
      <c r="E75" s="138"/>
      <c r="F75" s="139"/>
      <c r="G75" s="139"/>
      <c r="H75" s="139"/>
      <c r="I75" s="138"/>
      <c r="J75" s="136"/>
      <c r="K75" s="137"/>
      <c r="L75" s="137"/>
      <c r="M75" s="139"/>
      <c r="N75" s="138"/>
    </row>
    <row r="76" spans="2:14" ht="15.75" x14ac:dyDescent="0.25">
      <c r="B76" s="138"/>
      <c r="C76" s="138"/>
      <c r="D76" s="138"/>
      <c r="E76" s="138"/>
      <c r="F76" s="139"/>
      <c r="G76" s="139"/>
      <c r="H76" s="139"/>
      <c r="I76" s="138"/>
      <c r="J76" s="136">
        <v>46210</v>
      </c>
      <c r="K76" s="137" t="s">
        <v>973</v>
      </c>
      <c r="L76" s="137" t="s">
        <v>972</v>
      </c>
      <c r="M76" s="139">
        <v>800000</v>
      </c>
      <c r="N76" s="138">
        <v>752300893</v>
      </c>
    </row>
    <row r="77" spans="2:14" ht="15.75" x14ac:dyDescent="0.25">
      <c r="B77" s="138"/>
      <c r="C77" s="138"/>
      <c r="D77" s="138"/>
      <c r="E77" s="138"/>
      <c r="F77" s="139"/>
      <c r="G77" s="139"/>
      <c r="H77" s="139"/>
      <c r="I77" s="138"/>
      <c r="J77" s="136"/>
      <c r="K77" s="137"/>
      <c r="L77" s="137"/>
      <c r="M77" s="139"/>
      <c r="N77" s="137"/>
    </row>
    <row r="78" spans="2:14" ht="15.75" x14ac:dyDescent="0.25">
      <c r="B78" s="138"/>
      <c r="C78" s="138"/>
      <c r="D78" s="138"/>
      <c r="E78" s="138"/>
      <c r="F78" s="139"/>
      <c r="G78" s="139"/>
      <c r="H78" s="139"/>
      <c r="I78" s="138"/>
      <c r="J78" s="136">
        <v>46211</v>
      </c>
      <c r="K78" s="137" t="s">
        <v>242</v>
      </c>
      <c r="L78" s="137" t="s">
        <v>974</v>
      </c>
      <c r="M78" s="139">
        <v>200000</v>
      </c>
      <c r="N78" s="138">
        <v>700742461</v>
      </c>
    </row>
    <row r="79" spans="2:14" ht="15.75" x14ac:dyDescent="0.25">
      <c r="B79" s="138"/>
      <c r="C79" s="138"/>
      <c r="D79" s="138"/>
      <c r="E79" s="138"/>
      <c r="F79" s="139"/>
      <c r="G79" s="139"/>
      <c r="H79" s="139"/>
      <c r="I79" s="138"/>
      <c r="J79" s="136"/>
      <c r="K79" s="137"/>
      <c r="L79" s="137"/>
      <c r="M79" s="139"/>
      <c r="N79" s="138"/>
    </row>
    <row r="80" spans="2:14" s="125" customFormat="1" ht="15.75" x14ac:dyDescent="0.25">
      <c r="B80" s="138"/>
      <c r="C80" s="138"/>
      <c r="D80" s="138"/>
      <c r="E80" s="138"/>
      <c r="F80" s="139"/>
      <c r="G80" s="139"/>
      <c r="H80" s="139"/>
      <c r="I80" s="138"/>
      <c r="J80" s="136">
        <v>46211</v>
      </c>
      <c r="K80" s="137" t="s">
        <v>976</v>
      </c>
      <c r="L80" s="137" t="s">
        <v>975</v>
      </c>
      <c r="M80" s="139">
        <f>1300000+100000</f>
        <v>1400000</v>
      </c>
      <c r="N80" s="138">
        <v>752337601</v>
      </c>
    </row>
    <row r="81" spans="2:14" s="125" customFormat="1" ht="15.75" x14ac:dyDescent="0.25">
      <c r="B81" s="138"/>
      <c r="C81" s="138"/>
      <c r="D81" s="138"/>
      <c r="E81" s="138"/>
      <c r="F81" s="139"/>
      <c r="G81" s="139"/>
      <c r="H81" s="139"/>
      <c r="I81" s="138"/>
      <c r="J81" s="136"/>
      <c r="K81" s="137"/>
      <c r="L81" s="137"/>
      <c r="M81" s="139"/>
      <c r="N81" s="138"/>
    </row>
    <row r="82" spans="2:14" s="125" customFormat="1" ht="31.5" x14ac:dyDescent="0.25">
      <c r="B82" s="138"/>
      <c r="C82" s="138"/>
      <c r="D82" s="138"/>
      <c r="E82" s="138"/>
      <c r="F82" s="139"/>
      <c r="G82" s="139"/>
      <c r="H82" s="139"/>
      <c r="I82" s="138"/>
      <c r="J82" s="136">
        <v>46211</v>
      </c>
      <c r="K82" s="137" t="s">
        <v>977</v>
      </c>
      <c r="L82" s="137" t="s">
        <v>978</v>
      </c>
      <c r="M82" s="139">
        <v>1017000</v>
      </c>
      <c r="N82" s="138">
        <v>746136461</v>
      </c>
    </row>
    <row r="83" spans="2:14" s="125" customFormat="1" ht="15.75" x14ac:dyDescent="0.25">
      <c r="B83" s="138"/>
      <c r="C83" s="138"/>
      <c r="D83" s="138"/>
      <c r="E83" s="138"/>
      <c r="F83" s="139"/>
      <c r="G83" s="139"/>
      <c r="H83" s="139"/>
      <c r="I83" s="138"/>
      <c r="J83" s="136"/>
      <c r="K83" s="137"/>
      <c r="L83" s="137"/>
      <c r="M83" s="139"/>
      <c r="N83" s="138"/>
    </row>
    <row r="84" spans="2:14" ht="15.75" x14ac:dyDescent="0.25">
      <c r="B84" s="138"/>
      <c r="C84" s="138"/>
      <c r="D84" s="138"/>
      <c r="E84" s="138"/>
      <c r="F84" s="139"/>
      <c r="G84" s="139"/>
      <c r="H84" s="139"/>
      <c r="I84" s="138"/>
      <c r="J84" s="136">
        <v>46211</v>
      </c>
      <c r="K84" s="137" t="s">
        <v>408</v>
      </c>
      <c r="L84" s="137" t="s">
        <v>979</v>
      </c>
      <c r="M84" s="139">
        <v>103000</v>
      </c>
      <c r="N84" s="138">
        <v>792505557</v>
      </c>
    </row>
    <row r="85" spans="2:14" ht="15.75" x14ac:dyDescent="0.25">
      <c r="B85" s="138"/>
      <c r="C85" s="138"/>
      <c r="D85" s="138"/>
      <c r="E85" s="138"/>
      <c r="F85" s="139"/>
      <c r="G85" s="139"/>
      <c r="H85" s="139"/>
      <c r="I85" s="138"/>
      <c r="J85" s="136"/>
      <c r="K85" s="137"/>
      <c r="L85" s="137"/>
      <c r="M85" s="139"/>
      <c r="N85" s="138"/>
    </row>
    <row r="86" spans="2:14" s="125" customFormat="1" ht="15.75" x14ac:dyDescent="0.25">
      <c r="B86" s="138"/>
      <c r="C86" s="138"/>
      <c r="D86" s="138"/>
      <c r="E86" s="138"/>
      <c r="F86" s="139"/>
      <c r="G86" s="139"/>
      <c r="H86" s="139"/>
      <c r="I86" s="138"/>
      <c r="J86" s="136">
        <v>46211</v>
      </c>
      <c r="K86" s="137" t="s">
        <v>95</v>
      </c>
      <c r="L86" s="137" t="s">
        <v>980</v>
      </c>
      <c r="M86" s="139">
        <v>4000</v>
      </c>
      <c r="N86" s="138" t="s">
        <v>13</v>
      </c>
    </row>
    <row r="87" spans="2:14" s="125" customFormat="1" ht="15.75" x14ac:dyDescent="0.25">
      <c r="B87" s="138"/>
      <c r="C87" s="138"/>
      <c r="D87" s="138"/>
      <c r="E87" s="138"/>
      <c r="F87" s="139"/>
      <c r="G87" s="139"/>
      <c r="H87" s="139"/>
      <c r="I87" s="138"/>
      <c r="J87" s="136"/>
      <c r="K87" s="137"/>
      <c r="L87" s="137"/>
      <c r="M87" s="139"/>
      <c r="N87" s="138"/>
    </row>
    <row r="88" spans="2:14" s="125" customFormat="1" ht="15.75" x14ac:dyDescent="0.25">
      <c r="B88" s="138"/>
      <c r="C88" s="138"/>
      <c r="D88" s="138"/>
      <c r="E88" s="138"/>
      <c r="F88" s="139"/>
      <c r="G88" s="139"/>
      <c r="H88" s="139"/>
      <c r="I88" s="138"/>
      <c r="J88" s="136">
        <v>46211</v>
      </c>
      <c r="K88" s="137" t="s">
        <v>982</v>
      </c>
      <c r="L88" s="137" t="s">
        <v>981</v>
      </c>
      <c r="M88" s="139">
        <v>300000</v>
      </c>
      <c r="N88" s="138">
        <v>752979737</v>
      </c>
    </row>
    <row r="89" spans="2:14" s="125" customFormat="1" ht="15.75" x14ac:dyDescent="0.25">
      <c r="B89" s="138"/>
      <c r="C89" s="138"/>
      <c r="D89" s="138"/>
      <c r="E89" s="138"/>
      <c r="F89" s="139"/>
      <c r="G89" s="139"/>
      <c r="H89" s="139"/>
      <c r="I89" s="138"/>
      <c r="J89" s="136"/>
      <c r="K89" s="137"/>
      <c r="L89" s="137"/>
      <c r="M89" s="139"/>
      <c r="N89" s="138"/>
    </row>
    <row r="90" spans="2:14" ht="31.5" customHeight="1" x14ac:dyDescent="0.25">
      <c r="B90" s="138"/>
      <c r="C90" s="138"/>
      <c r="D90" s="138"/>
      <c r="E90" s="138"/>
      <c r="F90" s="139"/>
      <c r="G90" s="139"/>
      <c r="H90" s="139"/>
      <c r="I90" s="138"/>
      <c r="J90" s="136">
        <v>46211</v>
      </c>
      <c r="K90" s="137" t="s">
        <v>984</v>
      </c>
      <c r="L90" s="137" t="s">
        <v>983</v>
      </c>
      <c r="M90" s="139">
        <v>1050000</v>
      </c>
      <c r="N90" s="138">
        <v>752448442</v>
      </c>
    </row>
    <row r="91" spans="2:14" ht="15.75" x14ac:dyDescent="0.25">
      <c r="B91" s="138"/>
      <c r="C91" s="138"/>
      <c r="D91" s="138"/>
      <c r="E91" s="138"/>
      <c r="F91" s="139"/>
      <c r="G91" s="139"/>
      <c r="H91" s="139"/>
      <c r="I91" s="138"/>
      <c r="J91" s="136"/>
      <c r="K91" s="137"/>
      <c r="L91" s="137"/>
      <c r="M91" s="139"/>
      <c r="N91" s="138"/>
    </row>
    <row r="92" spans="2:14" s="125" customFormat="1" ht="15.75" x14ac:dyDescent="0.25">
      <c r="B92" s="138"/>
      <c r="C92" s="138"/>
      <c r="D92" s="138"/>
      <c r="E92" s="138"/>
      <c r="F92" s="139"/>
      <c r="G92" s="139"/>
      <c r="H92" s="139"/>
      <c r="I92" s="138"/>
      <c r="J92" s="136">
        <v>46211</v>
      </c>
      <c r="K92" s="137" t="s">
        <v>987</v>
      </c>
      <c r="L92" s="137" t="s">
        <v>988</v>
      </c>
      <c r="M92" s="139">
        <v>200000</v>
      </c>
      <c r="N92" s="138">
        <v>784788111</v>
      </c>
    </row>
    <row r="93" spans="2:14" s="125" customFormat="1" ht="15.75" x14ac:dyDescent="0.25">
      <c r="B93" s="138"/>
      <c r="C93" s="138"/>
      <c r="D93" s="138"/>
      <c r="E93" s="138"/>
      <c r="F93" s="139"/>
      <c r="G93" s="139"/>
      <c r="H93" s="139"/>
      <c r="I93" s="138"/>
      <c r="J93" s="136"/>
      <c r="K93" s="137"/>
      <c r="L93" s="137"/>
      <c r="M93" s="139"/>
      <c r="N93" s="138"/>
    </row>
    <row r="94" spans="2:14" s="125" customFormat="1" ht="31.5" x14ac:dyDescent="0.25">
      <c r="B94" s="138"/>
      <c r="C94" s="138"/>
      <c r="D94" s="138"/>
      <c r="E94" s="138"/>
      <c r="F94" s="139"/>
      <c r="G94" s="139"/>
      <c r="H94" s="139"/>
      <c r="I94" s="138"/>
      <c r="J94" s="136">
        <v>46211</v>
      </c>
      <c r="K94" s="137" t="s">
        <v>989</v>
      </c>
      <c r="L94" s="137" t="s">
        <v>985</v>
      </c>
      <c r="M94" s="139">
        <v>200000</v>
      </c>
      <c r="N94" s="138">
        <v>792188908</v>
      </c>
    </row>
    <row r="95" spans="2:14" s="126" customFormat="1" ht="15.75" x14ac:dyDescent="0.25">
      <c r="B95" s="138"/>
      <c r="C95" s="138"/>
      <c r="D95" s="138"/>
      <c r="E95" s="138"/>
      <c r="F95" s="139"/>
      <c r="G95" s="139"/>
      <c r="H95" s="139"/>
      <c r="I95" s="138"/>
      <c r="J95" s="136"/>
      <c r="K95" s="137"/>
      <c r="L95" s="137"/>
      <c r="M95" s="139"/>
      <c r="N95" s="138"/>
    </row>
    <row r="96" spans="2:14" s="126" customFormat="1" ht="15.75" x14ac:dyDescent="0.25">
      <c r="B96" s="138"/>
      <c r="C96" s="138"/>
      <c r="D96" s="138"/>
      <c r="E96" s="138"/>
      <c r="F96" s="139"/>
      <c r="G96" s="139"/>
      <c r="H96" s="139"/>
      <c r="I96" s="138"/>
      <c r="J96" s="136">
        <v>46212</v>
      </c>
      <c r="K96" s="137" t="s">
        <v>991</v>
      </c>
      <c r="L96" s="137" t="s">
        <v>990</v>
      </c>
      <c r="M96" s="139">
        <v>205000</v>
      </c>
      <c r="N96" s="138">
        <v>771633513</v>
      </c>
    </row>
    <row r="97" spans="2:14" s="127" customFormat="1" ht="15.75" x14ac:dyDescent="0.25">
      <c r="B97" s="138"/>
      <c r="C97" s="138"/>
      <c r="D97" s="138"/>
      <c r="E97" s="138"/>
      <c r="F97" s="139"/>
      <c r="G97" s="139"/>
      <c r="H97" s="139"/>
      <c r="I97" s="138"/>
      <c r="J97" s="136"/>
      <c r="K97" s="137"/>
      <c r="L97" s="137"/>
      <c r="M97" s="139"/>
      <c r="N97" s="138"/>
    </row>
    <row r="98" spans="2:14" s="126" customFormat="1" ht="15.75" x14ac:dyDescent="0.25">
      <c r="B98" s="138"/>
      <c r="C98" s="138"/>
      <c r="D98" s="138"/>
      <c r="E98" s="138"/>
      <c r="F98" s="139"/>
      <c r="G98" s="139"/>
      <c r="H98" s="139"/>
      <c r="I98" s="138"/>
      <c r="J98" s="136">
        <v>46212</v>
      </c>
      <c r="K98" s="137" t="s">
        <v>313</v>
      </c>
      <c r="L98" s="137" t="s">
        <v>992</v>
      </c>
      <c r="M98" s="139">
        <v>120000</v>
      </c>
      <c r="N98" s="138">
        <v>771396266</v>
      </c>
    </row>
    <row r="99" spans="2:14" s="126" customFormat="1" ht="31.5" x14ac:dyDescent="0.25">
      <c r="B99" s="138"/>
      <c r="C99" s="138"/>
      <c r="D99" s="138"/>
      <c r="E99" s="138"/>
      <c r="F99" s="139"/>
      <c r="G99" s="139"/>
      <c r="H99" s="139"/>
      <c r="I99" s="138"/>
      <c r="J99" s="136">
        <v>46212</v>
      </c>
      <c r="K99" s="137" t="s">
        <v>24</v>
      </c>
      <c r="L99" s="137" t="s">
        <v>986</v>
      </c>
      <c r="M99" s="139">
        <v>800000</v>
      </c>
      <c r="N99" s="138">
        <v>700742461</v>
      </c>
    </row>
    <row r="100" spans="2:14" s="125" customFormat="1" ht="15.75" x14ac:dyDescent="0.25">
      <c r="B100" s="138"/>
      <c r="C100" s="138"/>
      <c r="D100" s="138"/>
      <c r="E100" s="138"/>
      <c r="F100" s="139"/>
      <c r="G100" s="139"/>
      <c r="H100" s="139"/>
      <c r="I100" s="138"/>
      <c r="J100" s="136"/>
      <c r="K100" s="137"/>
      <c r="L100" s="137"/>
      <c r="M100" s="139"/>
      <c r="N100" s="138"/>
    </row>
    <row r="101" spans="2:14" s="125" customFormat="1" ht="15.75" x14ac:dyDescent="0.25">
      <c r="B101" s="138"/>
      <c r="C101" s="138"/>
      <c r="D101" s="138"/>
      <c r="E101" s="138"/>
      <c r="F101" s="139"/>
      <c r="G101" s="139"/>
      <c r="H101" s="139"/>
      <c r="I101" s="138"/>
      <c r="J101" s="136">
        <v>46212</v>
      </c>
      <c r="K101" s="137"/>
      <c r="L101" s="137" t="s">
        <v>994</v>
      </c>
      <c r="M101" s="139">
        <v>10000</v>
      </c>
      <c r="N101" s="138" t="s">
        <v>13</v>
      </c>
    </row>
    <row r="102" spans="2:14" s="126" customFormat="1" ht="31.5" x14ac:dyDescent="0.25">
      <c r="B102" s="138"/>
      <c r="C102" s="138"/>
      <c r="D102" s="138"/>
      <c r="E102" s="138"/>
      <c r="F102" s="139"/>
      <c r="G102" s="139"/>
      <c r="H102" s="139"/>
      <c r="I102" s="138"/>
      <c r="J102" s="136">
        <v>46212</v>
      </c>
      <c r="K102" s="137" t="s">
        <v>232</v>
      </c>
      <c r="L102" s="137" t="s">
        <v>993</v>
      </c>
      <c r="M102" s="139">
        <v>268000</v>
      </c>
      <c r="N102" s="138">
        <v>779915273</v>
      </c>
    </row>
    <row r="103" spans="2:14" s="126" customFormat="1" ht="15.75" x14ac:dyDescent="0.25">
      <c r="B103" s="138"/>
      <c r="C103" s="138"/>
      <c r="D103" s="138"/>
      <c r="E103" s="138"/>
      <c r="F103" s="139"/>
      <c r="G103" s="139"/>
      <c r="H103" s="139"/>
      <c r="I103" s="138"/>
      <c r="J103" s="136"/>
      <c r="K103" s="137"/>
      <c r="L103" s="137"/>
      <c r="M103" s="139"/>
      <c r="N103" s="138"/>
    </row>
    <row r="104" spans="2:14" s="126" customFormat="1" ht="31.5" x14ac:dyDescent="0.25">
      <c r="B104" s="138"/>
      <c r="C104" s="138"/>
      <c r="D104" s="138"/>
      <c r="E104" s="138"/>
      <c r="F104" s="139"/>
      <c r="G104" s="139"/>
      <c r="H104" s="139"/>
      <c r="I104" s="138"/>
      <c r="J104" s="136">
        <v>46212</v>
      </c>
      <c r="K104" s="137" t="s">
        <v>996</v>
      </c>
      <c r="L104" s="137" t="s">
        <v>995</v>
      </c>
      <c r="M104" s="139">
        <v>150000</v>
      </c>
      <c r="N104" s="138" t="s">
        <v>13</v>
      </c>
    </row>
    <row r="105" spans="2:14" s="126" customFormat="1" ht="15.75" x14ac:dyDescent="0.25">
      <c r="B105" s="138"/>
      <c r="C105" s="138"/>
      <c r="D105" s="138"/>
      <c r="E105" s="138"/>
      <c r="F105" s="139"/>
      <c r="G105" s="139"/>
      <c r="H105" s="139"/>
      <c r="I105" s="138"/>
      <c r="J105" s="136">
        <v>46212</v>
      </c>
      <c r="K105" s="137" t="s">
        <v>997</v>
      </c>
      <c r="L105" s="137" t="s">
        <v>935</v>
      </c>
      <c r="M105" s="139">
        <v>4000</v>
      </c>
      <c r="N105" s="138" t="s">
        <v>13</v>
      </c>
    </row>
    <row r="106" spans="2:14" s="127" customFormat="1" ht="15.75" x14ac:dyDescent="0.25">
      <c r="B106" s="138"/>
      <c r="C106" s="138"/>
      <c r="D106" s="138"/>
      <c r="E106" s="138"/>
      <c r="F106" s="139"/>
      <c r="G106" s="139"/>
      <c r="H106" s="139"/>
      <c r="I106" s="138"/>
      <c r="J106" s="136"/>
      <c r="K106" s="137"/>
      <c r="L106" s="137"/>
      <c r="M106" s="139"/>
      <c r="N106" s="138"/>
    </row>
    <row r="107" spans="2:14" s="127" customFormat="1" ht="31.5" x14ac:dyDescent="0.25">
      <c r="B107" s="138"/>
      <c r="C107" s="138"/>
      <c r="D107" s="138"/>
      <c r="E107" s="138"/>
      <c r="F107" s="139"/>
      <c r="G107" s="139"/>
      <c r="H107" s="139"/>
      <c r="I107" s="138"/>
      <c r="J107" s="136">
        <v>46212</v>
      </c>
      <c r="K107" s="137" t="s">
        <v>854</v>
      </c>
      <c r="L107" s="137" t="s">
        <v>998</v>
      </c>
      <c r="M107" s="139">
        <v>440000</v>
      </c>
      <c r="N107" s="138">
        <v>746136461</v>
      </c>
    </row>
    <row r="108" spans="2:14" s="127" customFormat="1" ht="15.75" x14ac:dyDescent="0.25">
      <c r="B108" s="138"/>
      <c r="C108" s="138"/>
      <c r="D108" s="138"/>
      <c r="E108" s="138"/>
      <c r="F108" s="139"/>
      <c r="G108" s="139"/>
      <c r="H108" s="139"/>
      <c r="I108" s="138"/>
      <c r="J108" s="136"/>
      <c r="K108" s="137"/>
      <c r="L108" s="137"/>
      <c r="M108" s="139"/>
      <c r="N108" s="138"/>
    </row>
    <row r="109" spans="2:14" s="127" customFormat="1" ht="15.75" x14ac:dyDescent="0.25">
      <c r="B109" s="138"/>
      <c r="C109" s="138"/>
      <c r="D109" s="138"/>
      <c r="E109" s="138"/>
      <c r="F109" s="139"/>
      <c r="G109" s="139"/>
      <c r="H109" s="139"/>
      <c r="I109" s="138"/>
      <c r="J109" s="136">
        <v>46212</v>
      </c>
      <c r="K109" s="137" t="s">
        <v>999</v>
      </c>
      <c r="L109" s="137" t="s">
        <v>1002</v>
      </c>
      <c r="M109" s="139">
        <v>30000000</v>
      </c>
      <c r="N109" s="138" t="s">
        <v>13</v>
      </c>
    </row>
    <row r="110" spans="2:14" s="127" customFormat="1" ht="15.75" x14ac:dyDescent="0.25">
      <c r="B110" s="138"/>
      <c r="C110" s="138"/>
      <c r="D110" s="138"/>
      <c r="E110" s="138"/>
      <c r="F110" s="139"/>
      <c r="G110" s="139"/>
      <c r="H110" s="139"/>
      <c r="I110" s="138"/>
      <c r="J110" s="136"/>
      <c r="K110" s="137"/>
      <c r="L110" s="137"/>
      <c r="M110" s="139"/>
      <c r="N110" s="138"/>
    </row>
    <row r="111" spans="2:14" s="127" customFormat="1" ht="31.5" x14ac:dyDescent="0.25">
      <c r="B111" s="138"/>
      <c r="C111" s="138"/>
      <c r="D111" s="138"/>
      <c r="E111" s="138"/>
      <c r="F111" s="139"/>
      <c r="G111" s="139"/>
      <c r="H111" s="139"/>
      <c r="I111" s="138"/>
      <c r="J111" s="136">
        <v>46212</v>
      </c>
      <c r="K111" s="137" t="s">
        <v>1001</v>
      </c>
      <c r="L111" s="137" t="s">
        <v>1000</v>
      </c>
      <c r="M111" s="139">
        <v>1500000</v>
      </c>
      <c r="N111" s="138">
        <v>708982250</v>
      </c>
    </row>
    <row r="112" spans="2:14" s="127" customFormat="1" ht="15.75" x14ac:dyDescent="0.25">
      <c r="B112" s="138"/>
      <c r="C112" s="138"/>
      <c r="D112" s="138"/>
      <c r="E112" s="138"/>
      <c r="F112" s="139"/>
      <c r="G112" s="139"/>
      <c r="H112" s="139"/>
      <c r="I112" s="138"/>
      <c r="J112" s="136"/>
      <c r="K112" s="137"/>
      <c r="L112" s="137"/>
      <c r="M112" s="139"/>
      <c r="N112" s="138"/>
    </row>
    <row r="113" spans="2:14" s="127" customFormat="1" ht="15.75" x14ac:dyDescent="0.25">
      <c r="B113" s="138"/>
      <c r="C113" s="138"/>
      <c r="D113" s="138"/>
      <c r="E113" s="138"/>
      <c r="F113" s="139"/>
      <c r="G113" s="139"/>
      <c r="H113" s="139"/>
      <c r="I113" s="138"/>
      <c r="J113" s="136">
        <v>46213</v>
      </c>
      <c r="K113" s="137" t="s">
        <v>923</v>
      </c>
      <c r="L113" s="137" t="s">
        <v>1003</v>
      </c>
      <c r="M113" s="139">
        <v>440000</v>
      </c>
      <c r="N113" s="138">
        <v>746136461</v>
      </c>
    </row>
    <row r="114" spans="2:14" s="127" customFormat="1" ht="15.75" x14ac:dyDescent="0.25">
      <c r="B114" s="138"/>
      <c r="C114" s="138"/>
      <c r="D114" s="138"/>
      <c r="E114" s="138"/>
      <c r="F114" s="139"/>
      <c r="G114" s="139"/>
      <c r="H114" s="139"/>
      <c r="I114" s="138"/>
      <c r="J114" s="136"/>
      <c r="K114" s="137"/>
      <c r="L114" s="137"/>
      <c r="M114" s="139"/>
      <c r="N114" s="138"/>
    </row>
    <row r="115" spans="2:14" s="127" customFormat="1" ht="15.75" x14ac:dyDescent="0.25">
      <c r="B115" s="138"/>
      <c r="C115" s="138"/>
      <c r="D115" s="138"/>
      <c r="E115" s="138"/>
      <c r="F115" s="139"/>
      <c r="G115" s="139"/>
      <c r="H115" s="139"/>
      <c r="I115" s="138"/>
      <c r="J115" s="136">
        <v>46213</v>
      </c>
      <c r="K115" s="137" t="s">
        <v>1005</v>
      </c>
      <c r="L115" s="137" t="s">
        <v>1004</v>
      </c>
      <c r="M115" s="139">
        <v>3600000</v>
      </c>
      <c r="N115" s="138">
        <v>774112810</v>
      </c>
    </row>
    <row r="116" spans="2:14" s="127" customFormat="1" ht="15.75" x14ac:dyDescent="0.25">
      <c r="B116" s="138"/>
      <c r="C116" s="138"/>
      <c r="D116" s="138"/>
      <c r="E116" s="138"/>
      <c r="F116" s="139"/>
      <c r="G116" s="139"/>
      <c r="H116" s="139"/>
      <c r="I116" s="138"/>
      <c r="J116" s="136"/>
      <c r="K116" s="137"/>
      <c r="L116" s="137" t="s">
        <v>1006</v>
      </c>
      <c r="M116" s="139">
        <v>5000</v>
      </c>
      <c r="N116" s="138"/>
    </row>
    <row r="117" spans="2:14" s="128" customFormat="1" ht="15.75" x14ac:dyDescent="0.25">
      <c r="B117" s="138"/>
      <c r="C117" s="138"/>
      <c r="D117" s="138"/>
      <c r="E117" s="138"/>
      <c r="F117" s="139"/>
      <c r="G117" s="139"/>
      <c r="H117" s="139"/>
      <c r="I117" s="138"/>
      <c r="J117" s="136"/>
      <c r="K117" s="137"/>
      <c r="L117" s="137"/>
      <c r="M117" s="139"/>
      <c r="N117" s="138"/>
    </row>
    <row r="118" spans="2:14" s="128" customFormat="1" ht="31.5" x14ac:dyDescent="0.25">
      <c r="B118" s="138"/>
      <c r="C118" s="138"/>
      <c r="D118" s="138"/>
      <c r="E118" s="138"/>
      <c r="F118" s="139"/>
      <c r="G118" s="139"/>
      <c r="H118" s="139"/>
      <c r="I118" s="138"/>
      <c r="J118" s="136">
        <v>46214</v>
      </c>
      <c r="K118" s="137" t="s">
        <v>1012</v>
      </c>
      <c r="L118" s="137" t="s">
        <v>1011</v>
      </c>
      <c r="M118" s="139">
        <v>1500000</v>
      </c>
      <c r="N118" s="138">
        <v>75745022544</v>
      </c>
    </row>
    <row r="119" spans="2:14" s="128" customFormat="1" ht="15.75" x14ac:dyDescent="0.25">
      <c r="B119" s="138"/>
      <c r="C119" s="138"/>
      <c r="D119" s="138"/>
      <c r="E119" s="138"/>
      <c r="F119" s="139"/>
      <c r="G119" s="139"/>
      <c r="H119" s="139"/>
      <c r="I119" s="138"/>
      <c r="J119" s="136"/>
      <c r="K119" s="137"/>
      <c r="L119" s="137" t="s">
        <v>1017</v>
      </c>
      <c r="M119" s="139">
        <v>22500</v>
      </c>
      <c r="N119" s="138"/>
    </row>
    <row r="120" spans="2:14" s="128" customFormat="1" ht="15.75" x14ac:dyDescent="0.25">
      <c r="B120" s="138"/>
      <c r="C120" s="138"/>
      <c r="D120" s="138"/>
      <c r="E120" s="138"/>
      <c r="F120" s="139"/>
      <c r="G120" s="139"/>
      <c r="H120" s="139"/>
      <c r="I120" s="138"/>
      <c r="J120" s="136"/>
      <c r="K120" s="137"/>
      <c r="L120" s="137"/>
      <c r="M120" s="139"/>
      <c r="N120" s="138"/>
    </row>
    <row r="121" spans="2:14" s="128" customFormat="1" ht="15.75" x14ac:dyDescent="0.25">
      <c r="B121" s="138"/>
      <c r="C121" s="138"/>
      <c r="D121" s="138"/>
      <c r="E121" s="138"/>
      <c r="F121" s="139"/>
      <c r="G121" s="139"/>
      <c r="H121" s="139"/>
      <c r="I121" s="138"/>
      <c r="J121" s="136">
        <v>46214</v>
      </c>
      <c r="K121" s="137" t="s">
        <v>854</v>
      </c>
      <c r="L121" s="137" t="s">
        <v>1020</v>
      </c>
      <c r="M121" s="139">
        <v>143000</v>
      </c>
      <c r="N121" s="138">
        <v>746136461</v>
      </c>
    </row>
    <row r="122" spans="2:14" s="128" customFormat="1" ht="15.75" x14ac:dyDescent="0.25">
      <c r="B122" s="138"/>
      <c r="C122" s="138"/>
      <c r="D122" s="138"/>
      <c r="E122" s="138"/>
      <c r="F122" s="139"/>
      <c r="G122" s="139"/>
      <c r="H122" s="139"/>
      <c r="I122" s="138"/>
      <c r="J122" s="136"/>
      <c r="K122" s="137"/>
      <c r="L122" s="137"/>
      <c r="M122" s="139"/>
      <c r="N122" s="138"/>
    </row>
    <row r="123" spans="2:14" s="128" customFormat="1" ht="24.75" customHeight="1" x14ac:dyDescent="0.25">
      <c r="B123" s="138"/>
      <c r="C123" s="138"/>
      <c r="D123" s="138"/>
      <c r="E123" s="138"/>
      <c r="F123" s="139"/>
      <c r="G123" s="139"/>
      <c r="H123" s="139"/>
      <c r="I123" s="138"/>
      <c r="J123" s="136">
        <v>46214</v>
      </c>
      <c r="K123" s="137" t="s">
        <v>511</v>
      </c>
      <c r="L123" s="137" t="s">
        <v>1013</v>
      </c>
      <c r="M123" s="139">
        <v>30000</v>
      </c>
      <c r="N123" s="138">
        <v>776312022</v>
      </c>
    </row>
    <row r="124" spans="2:14" s="128" customFormat="1" ht="15.75" x14ac:dyDescent="0.25">
      <c r="B124" s="138"/>
      <c r="C124" s="138"/>
      <c r="D124" s="138"/>
      <c r="E124" s="138"/>
      <c r="F124" s="139"/>
      <c r="G124" s="139"/>
      <c r="H124" s="139"/>
      <c r="I124" s="138"/>
      <c r="J124" s="136"/>
      <c r="K124" s="137"/>
      <c r="L124" s="137"/>
      <c r="M124" s="139"/>
      <c r="N124" s="138"/>
    </row>
    <row r="125" spans="2:14" s="128" customFormat="1" ht="15.75" x14ac:dyDescent="0.25">
      <c r="B125" s="138"/>
      <c r="C125" s="138"/>
      <c r="D125" s="138"/>
      <c r="E125" s="138"/>
      <c r="F125" s="139"/>
      <c r="G125" s="139"/>
      <c r="H125" s="139"/>
      <c r="I125" s="138"/>
      <c r="J125" s="136">
        <v>46215</v>
      </c>
      <c r="K125" s="137" t="s">
        <v>854</v>
      </c>
      <c r="L125" s="137" t="s">
        <v>1019</v>
      </c>
      <c r="M125" s="139">
        <v>143000</v>
      </c>
      <c r="N125" s="138">
        <v>746136461</v>
      </c>
    </row>
    <row r="126" spans="2:14" s="128" customFormat="1" ht="15.75" x14ac:dyDescent="0.25">
      <c r="B126" s="138"/>
      <c r="C126" s="138"/>
      <c r="D126" s="138"/>
      <c r="E126" s="138"/>
      <c r="F126" s="139"/>
      <c r="G126" s="139"/>
      <c r="H126" s="139"/>
      <c r="I126" s="138"/>
      <c r="J126" s="136"/>
      <c r="K126" s="137"/>
      <c r="L126" s="137"/>
      <c r="M126" s="139"/>
      <c r="N126" s="138"/>
    </row>
    <row r="127" spans="2:14" s="128" customFormat="1" ht="15.75" x14ac:dyDescent="0.25">
      <c r="B127" s="138"/>
      <c r="C127" s="138"/>
      <c r="D127" s="138"/>
      <c r="E127" s="138"/>
      <c r="F127" s="139"/>
      <c r="G127" s="139"/>
      <c r="H127" s="139"/>
      <c r="I127" s="138"/>
      <c r="J127" s="136">
        <v>46216</v>
      </c>
      <c r="K127" s="137" t="s">
        <v>420</v>
      </c>
      <c r="L127" s="137" t="s">
        <v>1014</v>
      </c>
      <c r="M127" s="139">
        <v>68000</v>
      </c>
      <c r="N127" s="138" t="s">
        <v>569</v>
      </c>
    </row>
    <row r="128" spans="2:14" s="128" customFormat="1" ht="15.75" x14ac:dyDescent="0.25">
      <c r="B128" s="138"/>
      <c r="C128" s="138"/>
      <c r="D128" s="138"/>
      <c r="E128" s="138"/>
      <c r="F128" s="139"/>
      <c r="G128" s="139"/>
      <c r="H128" s="139"/>
      <c r="I128" s="138"/>
      <c r="J128" s="136"/>
      <c r="K128" s="137"/>
      <c r="L128" s="137"/>
      <c r="M128" s="139"/>
      <c r="N128" s="138"/>
    </row>
    <row r="129" spans="2:14" s="125" customFormat="1" ht="15.75" x14ac:dyDescent="0.25">
      <c r="B129" s="138"/>
      <c r="C129" s="138"/>
      <c r="D129" s="138"/>
      <c r="E129" s="138"/>
      <c r="F129" s="139"/>
      <c r="G129" s="139"/>
      <c r="H129" s="139"/>
      <c r="I129" s="138"/>
      <c r="J129" s="136">
        <v>46216</v>
      </c>
      <c r="K129" s="137" t="s">
        <v>1015</v>
      </c>
      <c r="L129" s="137" t="s">
        <v>1016</v>
      </c>
      <c r="M129" s="139">
        <v>50000</v>
      </c>
      <c r="N129" s="138">
        <v>705599316</v>
      </c>
    </row>
    <row r="130" spans="2:14" s="128" customFormat="1" ht="15.75" x14ac:dyDescent="0.25">
      <c r="B130" s="138"/>
      <c r="C130" s="138"/>
      <c r="D130" s="138"/>
      <c r="E130" s="138"/>
      <c r="F130" s="139"/>
      <c r="G130" s="139"/>
      <c r="H130" s="139"/>
      <c r="I130" s="138"/>
      <c r="J130" s="136"/>
      <c r="K130" s="137"/>
      <c r="L130" s="137" t="s">
        <v>1018</v>
      </c>
      <c r="M130" s="139">
        <v>3000</v>
      </c>
      <c r="N130" s="138"/>
    </row>
    <row r="131" spans="2:14" s="128" customFormat="1" ht="15.75" x14ac:dyDescent="0.25">
      <c r="B131" s="138"/>
      <c r="C131" s="138"/>
      <c r="D131" s="138"/>
      <c r="E131" s="138"/>
      <c r="F131" s="139"/>
      <c r="G131" s="139"/>
      <c r="H131" s="139"/>
      <c r="I131" s="138"/>
      <c r="J131" s="136"/>
      <c r="K131" s="137"/>
      <c r="L131" s="137"/>
      <c r="M131" s="139"/>
      <c r="N131" s="138"/>
    </row>
    <row r="132" spans="2:14" s="128" customFormat="1" ht="15.75" x14ac:dyDescent="0.25">
      <c r="B132" s="138"/>
      <c r="C132" s="138"/>
      <c r="D132" s="138"/>
      <c r="E132" s="138"/>
      <c r="F132" s="139"/>
      <c r="G132" s="139"/>
      <c r="H132" s="139"/>
      <c r="I132" s="138"/>
      <c r="J132" s="136">
        <v>46216</v>
      </c>
      <c r="K132" s="137" t="s">
        <v>1023</v>
      </c>
      <c r="L132" s="137" t="s">
        <v>1021</v>
      </c>
      <c r="M132" s="139">
        <v>29000</v>
      </c>
      <c r="N132" s="138">
        <v>789144579</v>
      </c>
    </row>
    <row r="133" spans="2:14" s="128" customFormat="1" ht="15.75" x14ac:dyDescent="0.25">
      <c r="B133" s="138"/>
      <c r="C133" s="138"/>
      <c r="D133" s="138"/>
      <c r="E133" s="138"/>
      <c r="F133" s="139"/>
      <c r="G133" s="139"/>
      <c r="H133" s="139"/>
      <c r="I133" s="138"/>
      <c r="J133" s="136">
        <v>46216</v>
      </c>
      <c r="K133" s="137" t="s">
        <v>1024</v>
      </c>
      <c r="L133" s="137" t="s">
        <v>1022</v>
      </c>
      <c r="M133" s="139">
        <v>21000</v>
      </c>
      <c r="N133" s="138">
        <v>747461442</v>
      </c>
    </row>
    <row r="134" spans="2:14" ht="15.75" x14ac:dyDescent="0.25">
      <c r="B134" s="138"/>
      <c r="C134" s="138"/>
      <c r="D134" s="138"/>
      <c r="E134" s="138"/>
      <c r="F134" s="139"/>
      <c r="G134" s="139"/>
      <c r="H134" s="139"/>
      <c r="I134" s="138"/>
      <c r="J134" s="136"/>
      <c r="K134" s="137"/>
      <c r="L134" s="137" t="s">
        <v>1025</v>
      </c>
      <c r="M134" s="139">
        <v>4000</v>
      </c>
      <c r="N134" s="138"/>
    </row>
    <row r="135" spans="2:14" s="129" customFormat="1" ht="15.75" x14ac:dyDescent="0.25">
      <c r="B135" s="138"/>
      <c r="C135" s="138"/>
      <c r="D135" s="138"/>
      <c r="E135" s="138"/>
      <c r="F135" s="139"/>
      <c r="G135" s="139"/>
      <c r="H135" s="139"/>
      <c r="I135" s="138"/>
      <c r="J135" s="136"/>
      <c r="K135" s="137"/>
      <c r="L135" s="137"/>
      <c r="M135" s="139"/>
      <c r="N135" s="138"/>
    </row>
    <row r="136" spans="2:14" s="129" customFormat="1" ht="35.25" customHeight="1" x14ac:dyDescent="0.25">
      <c r="B136" s="138"/>
      <c r="C136" s="138"/>
      <c r="D136" s="138"/>
      <c r="E136" s="138"/>
      <c r="F136" s="139"/>
      <c r="G136" s="139"/>
      <c r="H136" s="139"/>
      <c r="I136" s="138"/>
      <c r="J136" s="136">
        <v>46216</v>
      </c>
      <c r="K136" s="137" t="s">
        <v>242</v>
      </c>
      <c r="L136" s="137" t="s">
        <v>1026</v>
      </c>
      <c r="M136" s="139">
        <v>2000000</v>
      </c>
      <c r="N136" s="138">
        <v>700742461</v>
      </c>
    </row>
    <row r="137" spans="2:14" s="128" customFormat="1" ht="15.75" x14ac:dyDescent="0.25">
      <c r="B137" s="138"/>
      <c r="C137" s="138"/>
      <c r="D137" s="138"/>
      <c r="E137" s="138"/>
      <c r="F137" s="139"/>
      <c r="G137" s="139"/>
      <c r="H137" s="139"/>
      <c r="I137" s="138"/>
      <c r="J137" s="136"/>
      <c r="K137" s="137"/>
      <c r="L137" s="137"/>
      <c r="M137" s="139"/>
      <c r="N137" s="138"/>
    </row>
    <row r="138" spans="2:14" s="129" customFormat="1" ht="15.75" x14ac:dyDescent="0.25">
      <c r="B138" s="138"/>
      <c r="C138" s="138"/>
      <c r="D138" s="138"/>
      <c r="E138" s="138"/>
      <c r="F138" s="139"/>
      <c r="G138" s="139"/>
      <c r="H138" s="139"/>
      <c r="I138" s="138"/>
      <c r="J138" s="136">
        <v>46217</v>
      </c>
      <c r="K138" s="137" t="s">
        <v>821</v>
      </c>
      <c r="L138" s="137" t="s">
        <v>1027</v>
      </c>
      <c r="M138" s="139">
        <v>6000000</v>
      </c>
      <c r="N138" s="138">
        <v>772700423</v>
      </c>
    </row>
    <row r="139" spans="2:14" s="129" customFormat="1" ht="15.75" x14ac:dyDescent="0.25">
      <c r="B139" s="138"/>
      <c r="C139" s="138"/>
      <c r="D139" s="138"/>
      <c r="E139" s="138"/>
      <c r="F139" s="139"/>
      <c r="G139" s="139"/>
      <c r="H139" s="139"/>
      <c r="I139" s="138"/>
      <c r="J139" s="136"/>
      <c r="K139" s="137"/>
      <c r="L139" s="137"/>
      <c r="M139" s="139"/>
      <c r="N139" s="138"/>
    </row>
    <row r="140" spans="2:14" s="129" customFormat="1" ht="15.75" x14ac:dyDescent="0.25">
      <c r="B140" s="138"/>
      <c r="C140" s="138"/>
      <c r="D140" s="138"/>
      <c r="E140" s="138"/>
      <c r="F140" s="139"/>
      <c r="G140" s="139"/>
      <c r="H140" s="139"/>
      <c r="I140" s="138"/>
      <c r="J140" s="136">
        <v>46217</v>
      </c>
      <c r="K140" s="137" t="s">
        <v>893</v>
      </c>
      <c r="L140" s="137" t="s">
        <v>1028</v>
      </c>
      <c r="M140" s="139">
        <v>990000</v>
      </c>
      <c r="N140" s="138">
        <v>702523750</v>
      </c>
    </row>
    <row r="141" spans="2:14" s="129" customFormat="1" ht="15.75" x14ac:dyDescent="0.25">
      <c r="B141" s="138"/>
      <c r="C141" s="138"/>
      <c r="D141" s="138"/>
      <c r="E141" s="138"/>
      <c r="F141" s="139"/>
      <c r="G141" s="139"/>
      <c r="H141" s="139"/>
      <c r="I141" s="138"/>
      <c r="J141" s="136"/>
      <c r="K141" s="137"/>
      <c r="L141" s="137"/>
      <c r="M141" s="139"/>
      <c r="N141" s="138"/>
    </row>
    <row r="142" spans="2:14" s="129" customFormat="1" ht="31.5" x14ac:dyDescent="0.25">
      <c r="B142" s="138"/>
      <c r="C142" s="138"/>
      <c r="D142" s="138"/>
      <c r="E142" s="138"/>
      <c r="F142" s="139"/>
      <c r="G142" s="139"/>
      <c r="H142" s="139"/>
      <c r="I142" s="138"/>
      <c r="J142" s="136">
        <v>46217</v>
      </c>
      <c r="K142" s="137" t="s">
        <v>1031</v>
      </c>
      <c r="L142" s="137" t="s">
        <v>1032</v>
      </c>
      <c r="M142" s="139">
        <v>476000</v>
      </c>
      <c r="N142" s="138" t="s">
        <v>1029</v>
      </c>
    </row>
    <row r="143" spans="2:14" s="128" customFormat="1" ht="15.75" x14ac:dyDescent="0.25">
      <c r="B143" s="138"/>
      <c r="C143" s="138"/>
      <c r="D143" s="138"/>
      <c r="E143" s="138"/>
      <c r="F143" s="139"/>
      <c r="G143" s="139"/>
      <c r="H143" s="139"/>
      <c r="I143" s="138"/>
      <c r="J143" s="136">
        <v>46217</v>
      </c>
      <c r="K143" s="137" t="s">
        <v>271</v>
      </c>
      <c r="L143" s="137" t="s">
        <v>1030</v>
      </c>
      <c r="M143" s="139">
        <v>100000</v>
      </c>
      <c r="N143" s="138">
        <v>701665831</v>
      </c>
    </row>
    <row r="144" spans="2:14" s="129" customFormat="1" ht="15.75" x14ac:dyDescent="0.25">
      <c r="B144" s="138"/>
      <c r="C144" s="138"/>
      <c r="D144" s="138"/>
      <c r="E144" s="138"/>
      <c r="F144" s="139"/>
      <c r="G144" s="139"/>
      <c r="H144" s="139"/>
      <c r="I144" s="138"/>
      <c r="J144" s="136"/>
      <c r="K144" s="137"/>
      <c r="L144" s="137"/>
      <c r="M144" s="139"/>
      <c r="N144" s="138"/>
    </row>
    <row r="145" spans="2:14" s="129" customFormat="1" ht="15.75" x14ac:dyDescent="0.25">
      <c r="B145" s="138"/>
      <c r="C145" s="138"/>
      <c r="D145" s="138"/>
      <c r="E145" s="138"/>
      <c r="F145" s="139"/>
      <c r="G145" s="139"/>
      <c r="H145" s="139"/>
      <c r="I145" s="138"/>
      <c r="J145" s="136">
        <v>46217</v>
      </c>
      <c r="K145" s="137" t="s">
        <v>1034</v>
      </c>
      <c r="L145" s="137" t="s">
        <v>1033</v>
      </c>
      <c r="M145" s="139">
        <v>1017000</v>
      </c>
      <c r="N145" s="138">
        <v>746136461</v>
      </c>
    </row>
    <row r="146" spans="2:14" s="129" customFormat="1" ht="15.75" x14ac:dyDescent="0.25">
      <c r="B146" s="138"/>
      <c r="C146" s="138"/>
      <c r="D146" s="138"/>
      <c r="E146" s="138"/>
      <c r="F146" s="139"/>
      <c r="G146" s="139"/>
      <c r="H146" s="139"/>
      <c r="I146" s="138"/>
      <c r="J146" s="136"/>
      <c r="K146" s="137"/>
      <c r="L146" s="137"/>
      <c r="M146" s="139"/>
      <c r="N146" s="138"/>
    </row>
    <row r="147" spans="2:14" s="129" customFormat="1" ht="15.75" x14ac:dyDescent="0.25">
      <c r="B147" s="138"/>
      <c r="C147" s="138"/>
      <c r="D147" s="138"/>
      <c r="E147" s="138"/>
      <c r="F147" s="139"/>
      <c r="G147" s="139"/>
      <c r="H147" s="139"/>
      <c r="I147" s="138"/>
      <c r="J147" s="136">
        <v>46217</v>
      </c>
      <c r="K147" s="137" t="s">
        <v>1036</v>
      </c>
      <c r="L147" s="137" t="s">
        <v>1027</v>
      </c>
      <c r="M147" s="139">
        <v>150000</v>
      </c>
      <c r="N147" s="138">
        <v>767592234</v>
      </c>
    </row>
    <row r="148" spans="2:14" s="129" customFormat="1" ht="15.75" x14ac:dyDescent="0.25">
      <c r="B148" s="138"/>
      <c r="C148" s="138"/>
      <c r="D148" s="138"/>
      <c r="E148" s="138"/>
      <c r="F148" s="139"/>
      <c r="G148" s="139"/>
      <c r="H148" s="139"/>
      <c r="I148" s="138"/>
      <c r="J148" s="136">
        <v>46217</v>
      </c>
      <c r="K148" s="137" t="s">
        <v>854</v>
      </c>
      <c r="L148" s="137" t="s">
        <v>1035</v>
      </c>
      <c r="M148" s="139">
        <v>20000</v>
      </c>
      <c r="N148" s="138">
        <v>746136461</v>
      </c>
    </row>
    <row r="149" spans="2:14" s="130" customFormat="1" ht="15.75" x14ac:dyDescent="0.25">
      <c r="B149" s="138"/>
      <c r="C149" s="138"/>
      <c r="D149" s="138"/>
      <c r="E149" s="138"/>
      <c r="F149" s="139"/>
      <c r="G149" s="139"/>
      <c r="H149" s="139"/>
      <c r="I149" s="138"/>
      <c r="J149" s="136"/>
      <c r="K149" s="137"/>
      <c r="L149" s="137"/>
      <c r="M149" s="139"/>
      <c r="N149" s="138"/>
    </row>
    <row r="150" spans="2:14" s="130" customFormat="1" ht="15.75" x14ac:dyDescent="0.25">
      <c r="B150" s="138"/>
      <c r="C150" s="138"/>
      <c r="D150" s="138"/>
      <c r="E150" s="138"/>
      <c r="F150" s="139"/>
      <c r="G150" s="139"/>
      <c r="H150" s="139"/>
      <c r="I150" s="138"/>
      <c r="J150" s="136">
        <v>46218</v>
      </c>
      <c r="K150" s="137" t="s">
        <v>936</v>
      </c>
      <c r="L150" s="137" t="s">
        <v>1038</v>
      </c>
      <c r="M150" s="139">
        <v>430000</v>
      </c>
      <c r="N150" s="138">
        <v>746136461</v>
      </c>
    </row>
    <row r="151" spans="2:14" s="130" customFormat="1" ht="15.75" x14ac:dyDescent="0.25">
      <c r="B151" s="138"/>
      <c r="C151" s="138"/>
      <c r="D151" s="138"/>
      <c r="E151" s="138"/>
      <c r="F151" s="139"/>
      <c r="G151" s="139"/>
      <c r="H151" s="139"/>
      <c r="I151" s="138"/>
      <c r="J151" s="136">
        <v>46218</v>
      </c>
      <c r="K151" s="137" t="s">
        <v>893</v>
      </c>
      <c r="L151" s="137" t="s">
        <v>1039</v>
      </c>
      <c r="M151" s="139">
        <v>225000</v>
      </c>
      <c r="N151" s="138">
        <v>705523750</v>
      </c>
    </row>
    <row r="152" spans="2:14" s="132" customFormat="1" ht="31.5" x14ac:dyDescent="0.25">
      <c r="B152" s="138"/>
      <c r="C152" s="138"/>
      <c r="D152" s="138"/>
      <c r="E152" s="138"/>
      <c r="F152" s="139"/>
      <c r="G152" s="139"/>
      <c r="H152" s="139"/>
      <c r="I152" s="138"/>
      <c r="J152" s="136">
        <v>46218</v>
      </c>
      <c r="K152" s="137" t="s">
        <v>408</v>
      </c>
      <c r="L152" s="137" t="s">
        <v>1040</v>
      </c>
      <c r="M152" s="139">
        <v>10000</v>
      </c>
      <c r="N152" s="138"/>
    </row>
    <row r="153" spans="2:14" s="131" customFormat="1" ht="15.75" x14ac:dyDescent="0.25">
      <c r="B153" s="138"/>
      <c r="C153" s="138"/>
      <c r="D153" s="138"/>
      <c r="E153" s="138"/>
      <c r="F153" s="139"/>
      <c r="G153" s="139"/>
      <c r="H153" s="139"/>
      <c r="I153" s="138"/>
      <c r="J153" s="136">
        <v>46219</v>
      </c>
      <c r="K153" s="137" t="s">
        <v>936</v>
      </c>
      <c r="L153" s="137" t="s">
        <v>1060</v>
      </c>
      <c r="M153" s="139">
        <v>100000</v>
      </c>
      <c r="N153" s="138">
        <v>746136461</v>
      </c>
    </row>
    <row r="154" spans="2:14" s="131" customFormat="1" ht="15.75" x14ac:dyDescent="0.25">
      <c r="B154" s="138"/>
      <c r="C154" s="138"/>
      <c r="D154" s="138"/>
      <c r="E154" s="138"/>
      <c r="F154" s="139"/>
      <c r="G154" s="139"/>
      <c r="H154" s="139"/>
      <c r="I154" s="138"/>
      <c r="J154" s="136">
        <v>46219</v>
      </c>
      <c r="K154" s="137" t="s">
        <v>95</v>
      </c>
      <c r="L154" s="137" t="s">
        <v>1041</v>
      </c>
      <c r="M154" s="139">
        <v>4000</v>
      </c>
      <c r="N154" s="138" t="s">
        <v>13</v>
      </c>
    </row>
    <row r="155" spans="2:14" s="132" customFormat="1" ht="15.75" x14ac:dyDescent="0.25">
      <c r="B155" s="138"/>
      <c r="C155" s="138"/>
      <c r="D155" s="138"/>
      <c r="E155" s="138"/>
      <c r="F155" s="139"/>
      <c r="G155" s="139"/>
      <c r="H155" s="139"/>
      <c r="I155" s="138"/>
      <c r="J155" s="136"/>
      <c r="K155" s="137"/>
      <c r="L155" s="137"/>
      <c r="M155" s="139"/>
      <c r="N155" s="138"/>
    </row>
    <row r="156" spans="2:14" s="132" customFormat="1" ht="15.75" x14ac:dyDescent="0.25">
      <c r="B156" s="138"/>
      <c r="C156" s="138"/>
      <c r="D156" s="138"/>
      <c r="E156" s="138"/>
      <c r="F156" s="139"/>
      <c r="G156" s="139"/>
      <c r="H156" s="139"/>
      <c r="I156" s="138"/>
      <c r="J156" s="136">
        <v>46219</v>
      </c>
      <c r="K156" s="137" t="s">
        <v>1042</v>
      </c>
      <c r="L156" s="137" t="s">
        <v>1043</v>
      </c>
      <c r="M156" s="139">
        <v>51000000</v>
      </c>
      <c r="N156" s="138"/>
    </row>
    <row r="157" spans="2:14" s="132" customFormat="1" ht="15.75" x14ac:dyDescent="0.25">
      <c r="B157" s="138"/>
      <c r="C157" s="138"/>
      <c r="D157" s="138"/>
      <c r="E157" s="138"/>
      <c r="F157" s="139"/>
      <c r="G157" s="139"/>
      <c r="H157" s="139"/>
      <c r="I157" s="138"/>
      <c r="J157" s="136"/>
      <c r="K157" s="137"/>
      <c r="L157" s="137"/>
      <c r="M157" s="139"/>
      <c r="N157" s="138"/>
    </row>
    <row r="158" spans="2:14" s="132" customFormat="1" ht="15.75" x14ac:dyDescent="0.25">
      <c r="B158" s="138"/>
      <c r="C158" s="138"/>
      <c r="D158" s="138"/>
      <c r="E158" s="138"/>
      <c r="F158" s="139"/>
      <c r="G158" s="139"/>
      <c r="H158" s="139"/>
      <c r="I158" s="138"/>
      <c r="J158" s="136">
        <v>46219</v>
      </c>
      <c r="K158" s="137" t="s">
        <v>1045</v>
      </c>
      <c r="L158" s="137" t="s">
        <v>1044</v>
      </c>
      <c r="M158" s="139">
        <v>2000000</v>
      </c>
      <c r="N158" s="138">
        <v>707027786</v>
      </c>
    </row>
    <row r="159" spans="2:14" s="132" customFormat="1" ht="15.75" x14ac:dyDescent="0.25">
      <c r="B159" s="138"/>
      <c r="C159" s="138"/>
      <c r="D159" s="138"/>
      <c r="E159" s="138"/>
      <c r="F159" s="139"/>
      <c r="G159" s="139"/>
      <c r="H159" s="139"/>
      <c r="I159" s="138"/>
      <c r="J159" s="136">
        <v>46219</v>
      </c>
      <c r="K159" s="137" t="s">
        <v>24</v>
      </c>
      <c r="L159" s="137" t="s">
        <v>1046</v>
      </c>
      <c r="M159" s="139">
        <v>1000000</v>
      </c>
      <c r="N159" s="138">
        <v>700742461</v>
      </c>
    </row>
    <row r="160" spans="2:14" s="132" customFormat="1" ht="15.75" x14ac:dyDescent="0.25">
      <c r="B160" s="138"/>
      <c r="C160" s="138"/>
      <c r="D160" s="138"/>
      <c r="E160" s="138"/>
      <c r="F160" s="139"/>
      <c r="G160" s="139"/>
      <c r="H160" s="139"/>
      <c r="I160" s="138"/>
      <c r="J160" s="136"/>
      <c r="K160" s="137"/>
      <c r="L160" s="137"/>
      <c r="M160" s="139"/>
      <c r="N160" s="138"/>
    </row>
    <row r="161" spans="2:14" s="132" customFormat="1" ht="15.75" x14ac:dyDescent="0.25">
      <c r="B161" s="138"/>
      <c r="C161" s="138"/>
      <c r="D161" s="138"/>
      <c r="E161" s="138"/>
      <c r="F161" s="139"/>
      <c r="G161" s="139"/>
      <c r="H161" s="139"/>
      <c r="I161" s="138"/>
      <c r="J161" s="136">
        <v>46220</v>
      </c>
      <c r="K161" s="137"/>
      <c r="L161" s="137" t="s">
        <v>1047</v>
      </c>
      <c r="M161" s="139">
        <v>2030000</v>
      </c>
      <c r="N161" s="138">
        <v>706808848</v>
      </c>
    </row>
    <row r="162" spans="2:14" s="133" customFormat="1" ht="15.75" x14ac:dyDescent="0.25">
      <c r="B162" s="138"/>
      <c r="C162" s="138"/>
      <c r="D162" s="138"/>
      <c r="E162" s="138"/>
      <c r="F162" s="139"/>
      <c r="G162" s="139"/>
      <c r="H162" s="139"/>
      <c r="I162" s="138"/>
      <c r="J162" s="136"/>
      <c r="K162" s="137"/>
      <c r="L162" s="137"/>
      <c r="M162" s="139"/>
      <c r="N162" s="138"/>
    </row>
    <row r="163" spans="2:14" s="133" customFormat="1" ht="47.25" x14ac:dyDescent="0.25">
      <c r="B163" s="138"/>
      <c r="C163" s="138"/>
      <c r="D163" s="138"/>
      <c r="E163" s="138"/>
      <c r="F163" s="139"/>
      <c r="G163" s="139"/>
      <c r="H163" s="139"/>
      <c r="I163" s="138"/>
      <c r="J163" s="136">
        <v>46220</v>
      </c>
      <c r="K163" s="137" t="s">
        <v>1050</v>
      </c>
      <c r="L163" s="137" t="s">
        <v>1049</v>
      </c>
      <c r="M163" s="139">
        <v>50000000</v>
      </c>
      <c r="N163" s="137" t="s">
        <v>1048</v>
      </c>
    </row>
    <row r="164" spans="2:14" s="133" customFormat="1" ht="15.75" x14ac:dyDescent="0.25">
      <c r="B164" s="138"/>
      <c r="C164" s="138"/>
      <c r="D164" s="138"/>
      <c r="E164" s="138"/>
      <c r="F164" s="139"/>
      <c r="G164" s="139"/>
      <c r="H164" s="139"/>
      <c r="I164" s="138"/>
      <c r="J164" s="136"/>
      <c r="K164" s="137"/>
      <c r="L164" s="137"/>
      <c r="M164" s="139"/>
      <c r="N164" s="138"/>
    </row>
    <row r="165" spans="2:14" s="133" customFormat="1" ht="15.75" x14ac:dyDescent="0.25">
      <c r="B165" s="138"/>
      <c r="C165" s="138"/>
      <c r="D165" s="138"/>
      <c r="E165" s="138"/>
      <c r="F165" s="139"/>
      <c r="G165" s="139"/>
      <c r="H165" s="139"/>
      <c r="I165" s="138"/>
      <c r="J165" s="136">
        <v>46220</v>
      </c>
      <c r="K165" s="137" t="s">
        <v>1052</v>
      </c>
      <c r="L165" s="137" t="s">
        <v>1051</v>
      </c>
      <c r="M165" s="139">
        <v>400000</v>
      </c>
      <c r="N165" s="138">
        <v>703733814</v>
      </c>
    </row>
    <row r="166" spans="2:14" s="133" customFormat="1" ht="15.75" x14ac:dyDescent="0.25">
      <c r="B166" s="138"/>
      <c r="C166" s="138"/>
      <c r="D166" s="138"/>
      <c r="E166" s="138"/>
      <c r="F166" s="139"/>
      <c r="G166" s="139"/>
      <c r="H166" s="139"/>
      <c r="I166" s="138"/>
      <c r="J166" s="136"/>
      <c r="K166" s="137"/>
      <c r="L166" s="137"/>
      <c r="M166" s="139"/>
      <c r="N166" s="138"/>
    </row>
    <row r="167" spans="2:14" s="133" customFormat="1" ht="15.75" x14ac:dyDescent="0.25">
      <c r="B167" s="138"/>
      <c r="C167" s="138"/>
      <c r="D167" s="138"/>
      <c r="E167" s="138"/>
      <c r="F167" s="139"/>
      <c r="G167" s="139"/>
      <c r="H167" s="139"/>
      <c r="I167" s="138"/>
      <c r="J167" s="136">
        <v>46220</v>
      </c>
      <c r="K167" s="137" t="s">
        <v>1053</v>
      </c>
      <c r="L167" s="137" t="s">
        <v>1062</v>
      </c>
      <c r="M167" s="139">
        <v>450000</v>
      </c>
      <c r="N167" s="138">
        <v>754050411</v>
      </c>
    </row>
    <row r="168" spans="2:14" s="133" customFormat="1" ht="15.75" x14ac:dyDescent="0.25">
      <c r="B168" s="138"/>
      <c r="C168" s="138"/>
      <c r="D168" s="138"/>
      <c r="E168" s="138"/>
      <c r="F168" s="139"/>
      <c r="G168" s="139"/>
      <c r="H168" s="139"/>
      <c r="I168" s="138"/>
      <c r="J168" s="136"/>
      <c r="K168" s="137"/>
      <c r="L168" s="137"/>
      <c r="M168" s="139"/>
      <c r="N168" s="138"/>
    </row>
    <row r="169" spans="2:14" s="133" customFormat="1" ht="31.5" x14ac:dyDescent="0.25">
      <c r="B169" s="138"/>
      <c r="C169" s="138"/>
      <c r="D169" s="138"/>
      <c r="E169" s="138"/>
      <c r="F169" s="139"/>
      <c r="G169" s="139"/>
      <c r="H169" s="139"/>
      <c r="I169" s="138"/>
      <c r="J169" s="136">
        <v>46220</v>
      </c>
      <c r="K169" s="137" t="s">
        <v>1054</v>
      </c>
      <c r="L169" s="137" t="s">
        <v>1055</v>
      </c>
      <c r="M169" s="139">
        <v>1020000</v>
      </c>
      <c r="N169" s="138">
        <v>758953276</v>
      </c>
    </row>
    <row r="170" spans="2:14" s="133" customFormat="1" ht="15.75" x14ac:dyDescent="0.25">
      <c r="B170" s="138"/>
      <c r="C170" s="138"/>
      <c r="D170" s="138"/>
      <c r="E170" s="138"/>
      <c r="F170" s="139"/>
      <c r="G170" s="139"/>
      <c r="H170" s="139"/>
      <c r="I170" s="138"/>
      <c r="J170" s="136"/>
      <c r="K170" s="137"/>
      <c r="L170" s="137"/>
      <c r="M170" s="139"/>
      <c r="N170" s="138"/>
    </row>
    <row r="171" spans="2:14" s="133" customFormat="1" ht="15.75" x14ac:dyDescent="0.25">
      <c r="B171" s="138"/>
      <c r="C171" s="138"/>
      <c r="D171" s="138"/>
      <c r="E171" s="138"/>
      <c r="F171" s="139"/>
      <c r="G171" s="139"/>
      <c r="H171" s="139"/>
      <c r="I171" s="138"/>
      <c r="J171" s="136">
        <v>46220</v>
      </c>
      <c r="K171" s="137" t="s">
        <v>854</v>
      </c>
      <c r="L171" s="137" t="s">
        <v>1056</v>
      </c>
      <c r="M171" s="139">
        <v>230000</v>
      </c>
      <c r="N171" s="138">
        <v>746136461</v>
      </c>
    </row>
    <row r="172" spans="2:14" s="133" customFormat="1" ht="15.75" x14ac:dyDescent="0.25">
      <c r="B172" s="138"/>
      <c r="C172" s="138"/>
      <c r="D172" s="138"/>
      <c r="E172" s="138"/>
      <c r="F172" s="139"/>
      <c r="G172" s="139"/>
      <c r="H172" s="139"/>
      <c r="I172" s="138"/>
      <c r="J172" s="136"/>
      <c r="K172" s="137"/>
      <c r="L172" s="137" t="s">
        <v>1057</v>
      </c>
      <c r="M172" s="139">
        <v>5000</v>
      </c>
      <c r="N172" s="138"/>
    </row>
    <row r="173" spans="2:14" s="134" customFormat="1" ht="15.75" x14ac:dyDescent="0.25">
      <c r="B173" s="138"/>
      <c r="C173" s="138"/>
      <c r="D173" s="138"/>
      <c r="E173" s="138"/>
      <c r="F173" s="139"/>
      <c r="G173" s="139"/>
      <c r="H173" s="139"/>
      <c r="I173" s="138"/>
      <c r="J173" s="136"/>
      <c r="K173" s="137"/>
      <c r="L173" s="137"/>
      <c r="M173" s="139"/>
      <c r="N173" s="138"/>
    </row>
    <row r="174" spans="2:14" s="132" customFormat="1" ht="15.75" x14ac:dyDescent="0.25">
      <c r="B174" s="138"/>
      <c r="C174" s="138"/>
      <c r="D174" s="138"/>
      <c r="E174" s="138"/>
      <c r="F174" s="139"/>
      <c r="G174" s="139"/>
      <c r="H174" s="139"/>
      <c r="I174" s="138"/>
      <c r="J174" s="136">
        <v>46220</v>
      </c>
      <c r="K174" s="137" t="s">
        <v>329</v>
      </c>
      <c r="L174" s="137" t="s">
        <v>1059</v>
      </c>
      <c r="M174" s="149">
        <v>8000</v>
      </c>
      <c r="N174" s="138" t="s">
        <v>13</v>
      </c>
    </row>
    <row r="175" spans="2:14" s="134" customFormat="1" ht="15.75" x14ac:dyDescent="0.25">
      <c r="B175" s="138"/>
      <c r="C175" s="138"/>
      <c r="D175" s="138"/>
      <c r="E175" s="138"/>
      <c r="F175" s="139"/>
      <c r="G175" s="139"/>
      <c r="H175" s="139"/>
      <c r="I175" s="138"/>
      <c r="J175" s="136">
        <v>46220</v>
      </c>
      <c r="K175" s="137" t="s">
        <v>1061</v>
      </c>
      <c r="L175" s="137" t="s">
        <v>1058</v>
      </c>
      <c r="M175" s="149">
        <v>30000</v>
      </c>
      <c r="N175" s="138" t="s">
        <v>13</v>
      </c>
    </row>
    <row r="176" spans="2:14" s="134" customFormat="1" ht="15.75" x14ac:dyDescent="0.25">
      <c r="B176" s="138"/>
      <c r="C176" s="138"/>
      <c r="D176" s="138"/>
      <c r="E176" s="138"/>
      <c r="F176" s="139"/>
      <c r="G176" s="139"/>
      <c r="H176" s="139"/>
      <c r="I176" s="138"/>
      <c r="J176" s="136"/>
      <c r="K176" s="137"/>
      <c r="L176" s="137"/>
      <c r="M176" s="149"/>
      <c r="N176" s="138"/>
    </row>
    <row r="177" spans="2:14" s="134" customFormat="1" ht="15.75" x14ac:dyDescent="0.25">
      <c r="B177" s="138"/>
      <c r="C177" s="138"/>
      <c r="D177" s="138"/>
      <c r="E177" s="138"/>
      <c r="F177" s="139"/>
      <c r="G177" s="139"/>
      <c r="H177" s="139"/>
      <c r="I177" s="138"/>
      <c r="J177" s="136">
        <v>46220</v>
      </c>
      <c r="K177" s="137" t="s">
        <v>854</v>
      </c>
      <c r="L177" s="137" t="s">
        <v>1067</v>
      </c>
      <c r="M177" s="149">
        <v>2100000</v>
      </c>
      <c r="N177" s="138">
        <v>746136461</v>
      </c>
    </row>
    <row r="178" spans="2:14" s="134" customFormat="1" ht="15.75" x14ac:dyDescent="0.25">
      <c r="B178" s="138"/>
      <c r="C178" s="138"/>
      <c r="D178" s="138"/>
      <c r="E178" s="138"/>
      <c r="F178" s="139"/>
      <c r="G178" s="139"/>
      <c r="H178" s="139"/>
      <c r="I178" s="138"/>
      <c r="J178" s="136"/>
      <c r="K178" s="137"/>
      <c r="L178" s="137" t="s">
        <v>154</v>
      </c>
      <c r="M178" s="149">
        <v>20000</v>
      </c>
      <c r="N178" s="138"/>
    </row>
    <row r="179" spans="2:14" s="134" customFormat="1" ht="15.75" x14ac:dyDescent="0.25">
      <c r="B179" s="138"/>
      <c r="C179" s="138"/>
      <c r="D179" s="138"/>
      <c r="E179" s="138"/>
      <c r="F179" s="139"/>
      <c r="G179" s="139"/>
      <c r="H179" s="139"/>
      <c r="I179" s="138"/>
      <c r="J179" s="136"/>
      <c r="K179" s="137"/>
      <c r="L179" s="137"/>
      <c r="M179" s="149"/>
      <c r="N179" s="138"/>
    </row>
    <row r="180" spans="2:14" s="134" customFormat="1" ht="31.5" x14ac:dyDescent="0.25">
      <c r="B180" s="138"/>
      <c r="C180" s="138"/>
      <c r="D180" s="138"/>
      <c r="E180" s="138"/>
      <c r="F180" s="139"/>
      <c r="G180" s="139"/>
      <c r="H180" s="139"/>
      <c r="I180" s="138"/>
      <c r="J180" s="136">
        <v>46220</v>
      </c>
      <c r="K180" s="137" t="s">
        <v>1073</v>
      </c>
      <c r="L180" s="137" t="s">
        <v>1072</v>
      </c>
      <c r="M180" s="149">
        <v>1720000</v>
      </c>
      <c r="N180" s="138">
        <v>758953276</v>
      </c>
    </row>
    <row r="181" spans="2:14" s="132" customFormat="1" ht="15.75" x14ac:dyDescent="0.25">
      <c r="B181" s="138"/>
      <c r="C181" s="138"/>
      <c r="D181" s="138"/>
      <c r="E181" s="138"/>
      <c r="F181" s="139"/>
      <c r="G181" s="139"/>
      <c r="H181" s="139"/>
      <c r="I181" s="138"/>
      <c r="J181" s="136"/>
      <c r="K181" s="137"/>
      <c r="L181" s="137"/>
      <c r="M181" s="139"/>
      <c r="N181" s="138"/>
    </row>
    <row r="182" spans="2:14" s="135" customFormat="1" ht="31.5" x14ac:dyDescent="0.25">
      <c r="B182" s="138"/>
      <c r="C182" s="138"/>
      <c r="D182" s="138"/>
      <c r="E182" s="138"/>
      <c r="F182" s="139"/>
      <c r="G182" s="139"/>
      <c r="H182" s="139"/>
      <c r="I182" s="138"/>
      <c r="J182" s="136">
        <v>46220</v>
      </c>
      <c r="K182" s="137" t="s">
        <v>1071</v>
      </c>
      <c r="L182" s="137" t="s">
        <v>1070</v>
      </c>
      <c r="M182" s="139">
        <v>250000</v>
      </c>
      <c r="N182" s="138">
        <v>706926441</v>
      </c>
    </row>
    <row r="183" spans="2:14" s="159" customFormat="1" ht="15.75" x14ac:dyDescent="0.25">
      <c r="B183" s="138"/>
      <c r="C183" s="138"/>
      <c r="D183" s="138"/>
      <c r="E183" s="138"/>
      <c r="F183" s="139"/>
      <c r="G183" s="139"/>
      <c r="H183" s="139"/>
      <c r="I183" s="138"/>
      <c r="J183" s="136"/>
      <c r="K183" s="137" t="s">
        <v>408</v>
      </c>
      <c r="L183" s="137" t="s">
        <v>1074</v>
      </c>
      <c r="M183" s="139">
        <v>26000</v>
      </c>
      <c r="N183" s="138"/>
    </row>
    <row r="184" spans="2:14" s="135" customFormat="1" ht="15.75" x14ac:dyDescent="0.25">
      <c r="B184" s="138"/>
      <c r="C184" s="138"/>
      <c r="D184" s="138"/>
      <c r="E184" s="138"/>
      <c r="F184" s="139"/>
      <c r="G184" s="139"/>
      <c r="H184" s="139"/>
      <c r="I184" s="138"/>
      <c r="J184" s="136"/>
      <c r="K184" s="137"/>
      <c r="L184" s="137"/>
      <c r="M184" s="139"/>
      <c r="N184" s="138"/>
    </row>
    <row r="185" spans="2:14" s="135" customFormat="1" ht="15.75" x14ac:dyDescent="0.25">
      <c r="B185" s="138"/>
      <c r="C185" s="138"/>
      <c r="D185" s="138"/>
      <c r="E185" s="138"/>
      <c r="F185" s="139"/>
      <c r="G185" s="139"/>
      <c r="H185" s="139"/>
      <c r="I185" s="138"/>
      <c r="J185" s="136">
        <v>46221</v>
      </c>
      <c r="K185" s="137" t="s">
        <v>936</v>
      </c>
      <c r="L185" s="137" t="s">
        <v>1069</v>
      </c>
      <c r="M185" s="139">
        <f>435000+110000</f>
        <v>545000</v>
      </c>
      <c r="N185" s="138">
        <v>746136461</v>
      </c>
    </row>
    <row r="186" spans="2:14" s="135" customFormat="1" ht="15.75" x14ac:dyDescent="0.25">
      <c r="B186" s="138"/>
      <c r="C186" s="138"/>
      <c r="D186" s="138"/>
      <c r="E186" s="138"/>
      <c r="F186" s="139"/>
      <c r="G186" s="139"/>
      <c r="H186" s="139"/>
      <c r="I186" s="138"/>
      <c r="J186" s="136"/>
      <c r="K186" s="137"/>
      <c r="L186" s="137"/>
      <c r="M186" s="139"/>
      <c r="N186" s="138"/>
    </row>
    <row r="187" spans="2:14" s="135" customFormat="1" ht="15.75" x14ac:dyDescent="0.25">
      <c r="B187" s="138"/>
      <c r="C187" s="138"/>
      <c r="D187" s="138"/>
      <c r="E187" s="138"/>
      <c r="F187" s="139"/>
      <c r="G187" s="139"/>
      <c r="H187" s="139"/>
      <c r="I187" s="138"/>
      <c r="J187" s="136">
        <v>46221</v>
      </c>
      <c r="K187" s="137" t="s">
        <v>1066</v>
      </c>
      <c r="L187" s="137" t="s">
        <v>1065</v>
      </c>
      <c r="M187" s="139">
        <v>1765000</v>
      </c>
      <c r="N187" s="138">
        <v>772306796</v>
      </c>
    </row>
    <row r="188" spans="2:14" s="135" customFormat="1" ht="15.75" x14ac:dyDescent="0.25">
      <c r="B188" s="138"/>
      <c r="C188" s="138"/>
      <c r="D188" s="138"/>
      <c r="E188" s="138"/>
      <c r="F188" s="139"/>
      <c r="G188" s="139"/>
      <c r="H188" s="139"/>
      <c r="I188" s="138"/>
      <c r="J188" s="136"/>
      <c r="K188" s="137"/>
      <c r="L188" s="137"/>
      <c r="M188" s="139"/>
      <c r="N188" s="138"/>
    </row>
    <row r="189" spans="2:14" s="135" customFormat="1" ht="31.5" x14ac:dyDescent="0.25">
      <c r="B189" s="138"/>
      <c r="C189" s="138"/>
      <c r="D189" s="138"/>
      <c r="E189" s="138"/>
      <c r="F189" s="139"/>
      <c r="G189" s="139"/>
      <c r="H189" s="139"/>
      <c r="I189" s="138"/>
      <c r="J189" s="148">
        <v>46222</v>
      </c>
      <c r="K189" s="135" t="s">
        <v>772</v>
      </c>
      <c r="L189" s="137" t="s">
        <v>1064</v>
      </c>
      <c r="M189" s="139">
        <v>297000</v>
      </c>
      <c r="N189" s="138">
        <v>754834591</v>
      </c>
    </row>
    <row r="190" spans="2:14" s="135" customFormat="1" ht="15.75" x14ac:dyDescent="0.25">
      <c r="B190" s="138"/>
      <c r="C190" s="138"/>
      <c r="D190" s="138"/>
      <c r="E190" s="138"/>
      <c r="F190" s="139"/>
      <c r="G190" s="139"/>
      <c r="H190" s="139"/>
      <c r="I190" s="138"/>
      <c r="J190" s="136"/>
      <c r="K190" s="137"/>
      <c r="L190" s="137" t="s">
        <v>1063</v>
      </c>
      <c r="M190" s="139">
        <v>10000</v>
      </c>
      <c r="N190" s="138"/>
    </row>
    <row r="191" spans="2:14" s="135" customFormat="1" ht="15.75" x14ac:dyDescent="0.25">
      <c r="B191" s="138"/>
      <c r="C191" s="138"/>
      <c r="D191" s="138"/>
      <c r="E191" s="138"/>
      <c r="F191" s="139"/>
      <c r="G191" s="139"/>
      <c r="H191" s="139"/>
      <c r="I191" s="138"/>
      <c r="J191" s="136"/>
      <c r="K191" s="137"/>
      <c r="L191" s="137"/>
      <c r="M191" s="139"/>
      <c r="N191" s="138"/>
    </row>
    <row r="192" spans="2:14" s="135" customFormat="1" ht="31.5" x14ac:dyDescent="0.25">
      <c r="B192" s="138"/>
      <c r="C192" s="138"/>
      <c r="D192" s="138"/>
      <c r="E192" s="138"/>
      <c r="F192" s="139"/>
      <c r="G192" s="139"/>
      <c r="H192" s="139"/>
      <c r="I192" s="138"/>
      <c r="J192" s="136">
        <v>46222</v>
      </c>
      <c r="K192" s="137" t="s">
        <v>1068</v>
      </c>
      <c r="L192" s="137" t="s">
        <v>1077</v>
      </c>
      <c r="M192" s="139">
        <v>612000</v>
      </c>
      <c r="N192" s="138">
        <v>730477680</v>
      </c>
    </row>
    <row r="193" spans="2:14" s="135" customFormat="1" ht="15.75" x14ac:dyDescent="0.25">
      <c r="B193" s="138"/>
      <c r="C193" s="138"/>
      <c r="D193" s="138"/>
      <c r="E193" s="138"/>
      <c r="F193" s="139"/>
      <c r="G193" s="139"/>
      <c r="H193" s="139"/>
      <c r="I193" s="138"/>
      <c r="J193" s="136"/>
      <c r="K193" s="137"/>
      <c r="L193" s="137"/>
      <c r="M193" s="139"/>
      <c r="N193" s="138"/>
    </row>
    <row r="194" spans="2:14" s="159" customFormat="1" ht="15.75" x14ac:dyDescent="0.25">
      <c r="B194" s="138"/>
      <c r="C194" s="138"/>
      <c r="D194" s="138"/>
      <c r="E194" s="138"/>
      <c r="F194" s="139"/>
      <c r="G194" s="139"/>
      <c r="H194" s="139"/>
      <c r="I194" s="138"/>
      <c r="J194" s="136">
        <v>46222</v>
      </c>
      <c r="K194" s="137" t="s">
        <v>95</v>
      </c>
      <c r="L194" s="137" t="s">
        <v>1075</v>
      </c>
      <c r="M194" s="139">
        <v>10000</v>
      </c>
      <c r="N194" s="138">
        <v>771844061</v>
      </c>
    </row>
    <row r="195" spans="2:14" s="159" customFormat="1" ht="15.75" x14ac:dyDescent="0.25">
      <c r="B195" s="138"/>
      <c r="C195" s="138"/>
      <c r="D195" s="138"/>
      <c r="E195" s="138"/>
      <c r="F195" s="139"/>
      <c r="G195" s="139"/>
      <c r="H195" s="139"/>
      <c r="I195" s="138"/>
      <c r="J195" s="136"/>
      <c r="K195" s="137"/>
      <c r="L195" s="137"/>
      <c r="M195" s="139"/>
      <c r="N195" s="138"/>
    </row>
    <row r="196" spans="2:14" s="159" customFormat="1" ht="31.5" x14ac:dyDescent="0.25">
      <c r="B196" s="138"/>
      <c r="C196" s="138"/>
      <c r="D196" s="138"/>
      <c r="E196" s="138"/>
      <c r="F196" s="139"/>
      <c r="G196" s="139"/>
      <c r="H196" s="139"/>
      <c r="I196" s="138"/>
      <c r="J196" s="136">
        <v>46222</v>
      </c>
      <c r="K196" s="137" t="s">
        <v>1078</v>
      </c>
      <c r="L196" s="137" t="s">
        <v>1076</v>
      </c>
      <c r="M196" s="139">
        <v>307000</v>
      </c>
      <c r="N196" s="138">
        <v>740690740</v>
      </c>
    </row>
    <row r="197" spans="2:14" s="159" customFormat="1" ht="15.75" x14ac:dyDescent="0.25">
      <c r="B197" s="138"/>
      <c r="C197" s="138"/>
      <c r="D197" s="138"/>
      <c r="E197" s="138"/>
      <c r="F197" s="139"/>
      <c r="G197" s="139"/>
      <c r="H197" s="139"/>
      <c r="I197" s="138"/>
      <c r="J197" s="136"/>
      <c r="K197" s="137"/>
      <c r="L197" s="137"/>
      <c r="M197" s="139"/>
      <c r="N197" s="138"/>
    </row>
    <row r="198" spans="2:14" s="159" customFormat="1" ht="15.75" x14ac:dyDescent="0.25">
      <c r="B198" s="138"/>
      <c r="C198" s="138"/>
      <c r="D198" s="138"/>
      <c r="E198" s="138"/>
      <c r="F198" s="139"/>
      <c r="G198" s="139"/>
      <c r="H198" s="139"/>
      <c r="I198" s="138"/>
      <c r="J198" s="136">
        <v>46223</v>
      </c>
      <c r="K198" s="137" t="s">
        <v>1079</v>
      </c>
      <c r="L198" s="137" t="s">
        <v>1082</v>
      </c>
      <c r="M198" s="139">
        <v>322000</v>
      </c>
      <c r="N198" s="138" t="s">
        <v>13</v>
      </c>
    </row>
    <row r="199" spans="2:14" s="135" customFormat="1" ht="15.75" x14ac:dyDescent="0.25">
      <c r="B199" s="138"/>
      <c r="C199" s="138"/>
      <c r="D199" s="138"/>
      <c r="E199" s="138"/>
      <c r="F199" s="139"/>
      <c r="G199" s="139"/>
      <c r="H199" s="139"/>
      <c r="I199" s="138"/>
      <c r="J199" s="136"/>
      <c r="K199" s="137"/>
      <c r="L199" s="137"/>
      <c r="M199" s="139"/>
      <c r="N199" s="138"/>
    </row>
    <row r="200" spans="2:14" s="159" customFormat="1" ht="31.5" x14ac:dyDescent="0.25">
      <c r="B200" s="138"/>
      <c r="C200" s="138"/>
      <c r="D200" s="138"/>
      <c r="E200" s="138"/>
      <c r="F200" s="139"/>
      <c r="G200" s="139"/>
      <c r="H200" s="139"/>
      <c r="I200" s="138"/>
      <c r="J200" s="136">
        <v>46223</v>
      </c>
      <c r="K200" s="137" t="s">
        <v>854</v>
      </c>
      <c r="L200" s="137" t="s">
        <v>1080</v>
      </c>
      <c r="M200" s="139">
        <v>540000</v>
      </c>
      <c r="N200" s="138">
        <v>746136461</v>
      </c>
    </row>
    <row r="201" spans="2:14" s="159" customFormat="1" ht="15.75" x14ac:dyDescent="0.25">
      <c r="B201" s="138"/>
      <c r="C201" s="138"/>
      <c r="D201" s="138"/>
      <c r="E201" s="138"/>
      <c r="F201" s="139"/>
      <c r="G201" s="139"/>
      <c r="H201" s="139"/>
      <c r="I201" s="138"/>
      <c r="J201" s="136"/>
      <c r="K201" s="137" t="s">
        <v>854</v>
      </c>
      <c r="L201" s="137" t="s">
        <v>1085</v>
      </c>
      <c r="M201" s="139">
        <v>20000</v>
      </c>
      <c r="N201" s="138"/>
    </row>
    <row r="202" spans="2:14" s="159" customFormat="1" ht="15.75" x14ac:dyDescent="0.25">
      <c r="B202" s="138"/>
      <c r="C202" s="138"/>
      <c r="D202" s="138"/>
      <c r="E202" s="138"/>
      <c r="F202" s="139"/>
      <c r="G202" s="139"/>
      <c r="H202" s="139"/>
      <c r="I202" s="138"/>
      <c r="J202" s="136"/>
      <c r="K202" s="137"/>
      <c r="L202" s="137"/>
      <c r="M202" s="139"/>
      <c r="N202" s="138"/>
    </row>
    <row r="203" spans="2:14" s="159" customFormat="1" ht="31.5" x14ac:dyDescent="0.25">
      <c r="B203" s="138"/>
      <c r="C203" s="138"/>
      <c r="D203" s="138"/>
      <c r="E203" s="138"/>
      <c r="F203" s="139"/>
      <c r="G203" s="139"/>
      <c r="H203" s="139"/>
      <c r="I203" s="138"/>
      <c r="J203" s="136">
        <v>46223</v>
      </c>
      <c r="K203" s="137" t="s">
        <v>232</v>
      </c>
      <c r="L203" s="137" t="s">
        <v>1081</v>
      </c>
      <c r="M203" s="139">
        <v>259000</v>
      </c>
      <c r="N203" s="138">
        <v>779915273</v>
      </c>
    </row>
    <row r="204" spans="2:14" s="135" customFormat="1" ht="15.75" x14ac:dyDescent="0.25">
      <c r="B204" s="138"/>
      <c r="C204" s="138"/>
      <c r="D204" s="138"/>
      <c r="E204" s="138"/>
      <c r="F204" s="139"/>
      <c r="G204" s="139"/>
      <c r="H204" s="139"/>
      <c r="I204" s="138"/>
      <c r="J204" s="136"/>
      <c r="K204" s="137"/>
      <c r="L204" s="137"/>
      <c r="M204" s="139"/>
      <c r="N204" s="138"/>
    </row>
    <row r="205" spans="2:14" s="135" customFormat="1" ht="31.5" x14ac:dyDescent="0.25">
      <c r="B205" s="138"/>
      <c r="C205" s="138"/>
      <c r="D205" s="138"/>
      <c r="E205" s="138"/>
      <c r="F205" s="139"/>
      <c r="G205" s="139"/>
      <c r="H205" s="139"/>
      <c r="I205" s="138"/>
      <c r="J205" s="136">
        <v>46223</v>
      </c>
      <c r="K205" s="137" t="s">
        <v>1084</v>
      </c>
      <c r="L205" s="137" t="s">
        <v>1083</v>
      </c>
      <c r="M205" s="139">
        <v>50000</v>
      </c>
      <c r="N205" s="138">
        <v>752300893</v>
      </c>
    </row>
    <row r="206" spans="2:14" s="159" customFormat="1" ht="15.75" x14ac:dyDescent="0.25">
      <c r="B206" s="138"/>
      <c r="C206" s="138"/>
      <c r="D206" s="138"/>
      <c r="E206" s="138"/>
      <c r="F206" s="139"/>
      <c r="G206" s="139"/>
      <c r="H206" s="139"/>
      <c r="I206" s="138"/>
      <c r="J206" s="136"/>
      <c r="K206" s="137"/>
      <c r="L206" s="137"/>
      <c r="M206" s="139"/>
      <c r="N206" s="138"/>
    </row>
    <row r="207" spans="2:14" s="159" customFormat="1" ht="15.75" x14ac:dyDescent="0.25">
      <c r="B207" s="138"/>
      <c r="C207" s="138"/>
      <c r="D207" s="138"/>
      <c r="E207" s="138"/>
      <c r="F207" s="139"/>
      <c r="G207" s="139"/>
      <c r="H207" s="139"/>
      <c r="I207" s="138"/>
      <c r="J207" s="136"/>
      <c r="K207" s="137"/>
      <c r="L207" s="137"/>
      <c r="M207" s="139">
        <v>23000</v>
      </c>
      <c r="N207" s="138"/>
    </row>
    <row r="208" spans="2:14" s="159" customFormat="1" ht="15.75" x14ac:dyDescent="0.25">
      <c r="B208" s="138"/>
      <c r="C208" s="138"/>
      <c r="D208" s="138"/>
      <c r="E208" s="138"/>
      <c r="F208" s="139"/>
      <c r="G208" s="139"/>
      <c r="H208" s="139"/>
      <c r="I208" s="138"/>
      <c r="J208" s="136"/>
      <c r="K208" s="137"/>
      <c r="L208" s="137"/>
      <c r="M208" s="139"/>
      <c r="N208" s="138"/>
    </row>
    <row r="209" spans="2:14" s="159" customFormat="1" ht="15.75" x14ac:dyDescent="0.25">
      <c r="B209" s="138"/>
      <c r="C209" s="138"/>
      <c r="D209" s="138"/>
      <c r="E209" s="138"/>
      <c r="F209" s="139"/>
      <c r="G209" s="139"/>
      <c r="H209" s="139"/>
      <c r="I209" s="138"/>
      <c r="J209" s="136"/>
      <c r="K209" s="137"/>
      <c r="L209" s="137"/>
      <c r="M209" s="139">
        <v>50000</v>
      </c>
      <c r="N209" s="138"/>
    </row>
    <row r="210" spans="2:14" s="159" customFormat="1" ht="15.75" x14ac:dyDescent="0.25">
      <c r="B210" s="138"/>
      <c r="C210" s="138"/>
      <c r="D210" s="138"/>
      <c r="E210" s="138"/>
      <c r="F210" s="139"/>
      <c r="G210" s="139"/>
      <c r="H210" s="139"/>
      <c r="I210" s="138"/>
      <c r="J210" s="136"/>
      <c r="K210" s="137"/>
      <c r="L210" s="137"/>
      <c r="M210" s="139"/>
      <c r="N210" s="138"/>
    </row>
    <row r="211" spans="2:14" s="159" customFormat="1" ht="15.75" x14ac:dyDescent="0.25">
      <c r="B211" s="138"/>
      <c r="C211" s="138"/>
      <c r="D211" s="138"/>
      <c r="E211" s="138"/>
      <c r="F211" s="139"/>
      <c r="G211" s="139"/>
      <c r="H211" s="139"/>
      <c r="I211" s="138"/>
      <c r="J211" s="136"/>
      <c r="K211" s="137"/>
      <c r="L211" s="137"/>
      <c r="M211" s="139">
        <v>300000</v>
      </c>
      <c r="N211" s="138"/>
    </row>
    <row r="212" spans="2:14" s="159" customFormat="1" ht="15.75" x14ac:dyDescent="0.25">
      <c r="B212" s="138"/>
      <c r="C212" s="138"/>
      <c r="D212" s="138"/>
      <c r="E212" s="138"/>
      <c r="F212" s="139"/>
      <c r="G212" s="139"/>
      <c r="H212" s="139"/>
      <c r="I212" s="138"/>
      <c r="J212" s="136"/>
      <c r="K212" s="137"/>
      <c r="L212" s="137"/>
      <c r="M212" s="139"/>
      <c r="N212" s="138"/>
    </row>
    <row r="213" spans="2:14" s="159" customFormat="1" ht="15.75" x14ac:dyDescent="0.25">
      <c r="B213" s="138"/>
      <c r="C213" s="138"/>
      <c r="D213" s="138"/>
      <c r="E213" s="138"/>
      <c r="F213" s="139"/>
      <c r="G213" s="139"/>
      <c r="H213" s="139"/>
      <c r="I213" s="138"/>
      <c r="J213" s="136"/>
      <c r="K213" s="137"/>
      <c r="L213" s="137"/>
      <c r="M213" s="139">
        <v>455000</v>
      </c>
      <c r="N213" s="138"/>
    </row>
    <row r="214" spans="2:14" s="159" customFormat="1" ht="15.75" x14ac:dyDescent="0.25">
      <c r="B214" s="138"/>
      <c r="C214" s="138"/>
      <c r="D214" s="138"/>
      <c r="E214" s="138"/>
      <c r="F214" s="139"/>
      <c r="G214" s="139"/>
      <c r="H214" s="139"/>
      <c r="I214" s="138"/>
      <c r="J214" s="136"/>
      <c r="K214" s="137"/>
      <c r="L214" s="137"/>
      <c r="M214" s="139"/>
      <c r="N214" s="138"/>
    </row>
    <row r="215" spans="2:14" s="159" customFormat="1" ht="15.75" x14ac:dyDescent="0.25">
      <c r="B215" s="138"/>
      <c r="C215" s="138"/>
      <c r="D215" s="138"/>
      <c r="E215" s="138"/>
      <c r="F215" s="139"/>
      <c r="G215" s="139"/>
      <c r="H215" s="139"/>
      <c r="I215" s="138"/>
      <c r="J215" s="136"/>
      <c r="K215" s="137"/>
      <c r="L215" s="137"/>
      <c r="M215" s="139">
        <v>15000000</v>
      </c>
      <c r="N215" s="138"/>
    </row>
    <row r="216" spans="2:14" s="159" customFormat="1" ht="15.75" x14ac:dyDescent="0.25">
      <c r="B216" s="138"/>
      <c r="C216" s="138"/>
      <c r="D216" s="138"/>
      <c r="E216" s="138"/>
      <c r="F216" s="139"/>
      <c r="G216" s="139"/>
      <c r="H216" s="139"/>
      <c r="I216" s="138"/>
      <c r="J216" s="136"/>
      <c r="K216" s="137"/>
      <c r="L216" s="137"/>
      <c r="M216" s="139"/>
      <c r="N216" s="138"/>
    </row>
    <row r="217" spans="2:14" s="159" customFormat="1" ht="15.75" x14ac:dyDescent="0.25">
      <c r="B217" s="138"/>
      <c r="C217" s="138"/>
      <c r="D217" s="138"/>
      <c r="E217" s="138"/>
      <c r="F217" s="139"/>
      <c r="G217" s="139"/>
      <c r="H217" s="139"/>
      <c r="I217" s="138"/>
      <c r="J217" s="136"/>
      <c r="K217" s="137"/>
      <c r="L217" s="137"/>
      <c r="M217" s="139">
        <v>210000</v>
      </c>
      <c r="N217" s="138"/>
    </row>
    <row r="218" spans="2:14" s="159" customFormat="1" ht="15.75" x14ac:dyDescent="0.25">
      <c r="B218" s="138"/>
      <c r="C218" s="138"/>
      <c r="D218" s="138"/>
      <c r="E218" s="138"/>
      <c r="F218" s="139"/>
      <c r="G218" s="139"/>
      <c r="H218" s="139"/>
      <c r="I218" s="138"/>
      <c r="J218" s="136"/>
      <c r="K218" s="137"/>
      <c r="L218" s="137"/>
      <c r="M218" s="139"/>
      <c r="N218" s="138"/>
    </row>
    <row r="219" spans="2:14" s="159" customFormat="1" ht="15.75" x14ac:dyDescent="0.25">
      <c r="B219" s="138"/>
      <c r="C219" s="138"/>
      <c r="D219" s="138"/>
      <c r="E219" s="138"/>
      <c r="F219" s="139"/>
      <c r="G219" s="139"/>
      <c r="H219" s="139"/>
      <c r="I219" s="138"/>
      <c r="J219" s="136"/>
      <c r="K219" s="137"/>
      <c r="L219" s="137"/>
      <c r="M219" s="139"/>
      <c r="N219" s="138"/>
    </row>
    <row r="220" spans="2:14" s="159" customFormat="1" ht="15.75" x14ac:dyDescent="0.25">
      <c r="B220" s="138"/>
      <c r="C220" s="138"/>
      <c r="D220" s="138"/>
      <c r="E220" s="138"/>
      <c r="F220" s="139"/>
      <c r="G220" s="139"/>
      <c r="H220" s="139"/>
      <c r="I220" s="138"/>
      <c r="J220" s="136"/>
      <c r="K220" s="137"/>
      <c r="L220" s="137"/>
      <c r="M220" s="139"/>
      <c r="N220" s="138"/>
    </row>
    <row r="221" spans="2:14" s="128" customFormat="1" ht="15.75" x14ac:dyDescent="0.25">
      <c r="B221" s="138"/>
      <c r="C221" s="138"/>
      <c r="D221" s="138"/>
      <c r="E221" s="138"/>
      <c r="F221" s="139"/>
      <c r="G221" s="139"/>
      <c r="H221" s="139"/>
      <c r="I221" s="138"/>
      <c r="J221" s="136"/>
      <c r="K221" s="137"/>
      <c r="L221" s="137"/>
      <c r="M221" s="139"/>
      <c r="N221" s="138"/>
    </row>
    <row r="222" spans="2:14" ht="15.75" x14ac:dyDescent="0.25">
      <c r="B222" s="138"/>
      <c r="C222" s="138"/>
      <c r="D222" s="138"/>
      <c r="E222" s="138"/>
      <c r="F222" s="139"/>
      <c r="G222" s="139"/>
      <c r="H222" s="139"/>
      <c r="I222" s="138"/>
      <c r="J222" s="136"/>
      <c r="K222" s="137"/>
      <c r="L222" s="138"/>
      <c r="M222" s="139"/>
      <c r="N222" s="138"/>
    </row>
    <row r="223" spans="2:14" ht="15.75" x14ac:dyDescent="0.25">
      <c r="B223" s="150"/>
      <c r="C223" s="150" t="s">
        <v>14</v>
      </c>
      <c r="D223" s="150"/>
      <c r="E223" s="151">
        <f>SUM(E8:E40)</f>
        <v>0</v>
      </c>
      <c r="F223" s="151"/>
      <c r="G223" s="151">
        <f>SUM(G8:G40)</f>
        <v>230002300</v>
      </c>
      <c r="H223" s="151"/>
      <c r="I223" s="151"/>
      <c r="J223" s="151"/>
      <c r="K223" s="138"/>
      <c r="L223" s="151"/>
      <c r="M223" s="151">
        <f>SUM(M9:M222)</f>
        <v>216496500</v>
      </c>
      <c r="N223" s="150"/>
    </row>
    <row r="224" spans="2:14" ht="15.75" x14ac:dyDescent="0.25">
      <c r="B224" s="2"/>
      <c r="C224" s="2"/>
      <c r="D224" s="2"/>
      <c r="E224" s="2"/>
      <c r="F224" s="152"/>
      <c r="G224" s="152"/>
      <c r="H224" s="152"/>
      <c r="I224" s="2"/>
      <c r="J224" s="2"/>
      <c r="K224" s="150" t="s">
        <v>14</v>
      </c>
      <c r="L224" s="2"/>
      <c r="M224" s="152"/>
      <c r="N224" s="2"/>
    </row>
    <row r="225" spans="2:14" ht="15.75" x14ac:dyDescent="0.25">
      <c r="B225" s="2"/>
      <c r="C225" s="2"/>
      <c r="D225" s="2"/>
      <c r="E225" s="2"/>
      <c r="F225" s="153"/>
      <c r="G225" s="152" t="s">
        <v>13</v>
      </c>
      <c r="H225" s="152"/>
      <c r="I225" s="2"/>
      <c r="J225" s="2"/>
      <c r="K225" s="2"/>
      <c r="L225" s="2"/>
      <c r="M225" s="152"/>
      <c r="N225" s="2"/>
    </row>
    <row r="226" spans="2:14" ht="15.75" x14ac:dyDescent="0.25">
      <c r="B226" s="2"/>
      <c r="C226" s="138" t="s">
        <v>15</v>
      </c>
      <c r="D226" s="138" t="s">
        <v>16</v>
      </c>
      <c r="E226" s="138"/>
      <c r="F226" s="154"/>
      <c r="G226" s="139">
        <f>G223</f>
        <v>230002300</v>
      </c>
      <c r="H226" s="152"/>
      <c r="I226" s="2"/>
      <c r="J226" s="2"/>
      <c r="K226" s="2"/>
      <c r="L226" s="2"/>
      <c r="M226" s="152"/>
      <c r="N226" s="2"/>
    </row>
    <row r="227" spans="2:14" ht="16.5" thickBot="1" x14ac:dyDescent="0.3">
      <c r="B227" s="2"/>
      <c r="C227" s="141"/>
      <c r="D227" s="141" t="s">
        <v>17</v>
      </c>
      <c r="E227" s="141"/>
      <c r="F227" s="155"/>
      <c r="G227" s="155">
        <f>M223</f>
        <v>216496500</v>
      </c>
      <c r="H227" s="152"/>
      <c r="I227" s="2"/>
      <c r="J227" s="2"/>
      <c r="K227" s="2"/>
      <c r="L227" s="2"/>
      <c r="M227" s="152"/>
      <c r="N227" s="2"/>
    </row>
    <row r="228" spans="2:14" ht="16.5" thickBot="1" x14ac:dyDescent="0.3">
      <c r="B228" s="2"/>
      <c r="C228" s="156" t="s">
        <v>18</v>
      </c>
      <c r="D228" s="157" t="s">
        <v>19</v>
      </c>
      <c r="E228" s="157"/>
      <c r="F228" s="158"/>
      <c r="G228" s="140">
        <f>G226-G227</f>
        <v>13505800</v>
      </c>
      <c r="H228" s="152"/>
      <c r="I228" s="2"/>
      <c r="J228" s="2"/>
      <c r="K228" s="2"/>
      <c r="L228" s="2"/>
      <c r="M228" s="152"/>
      <c r="N228" s="2"/>
    </row>
  </sheetData>
  <mergeCells count="4">
    <mergeCell ref="B4:M4"/>
    <mergeCell ref="B5:M5"/>
    <mergeCell ref="B6:G6"/>
    <mergeCell ref="J6:M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DAILY TRANSACTION TRACKER</vt:lpstr>
      <vt:lpstr>DAILY TRANSACTION TRACKER 2</vt:lpstr>
      <vt:lpstr>DAILY TRACKER 3</vt:lpstr>
      <vt:lpstr>DAILY TRACKER 4</vt:lpstr>
      <vt:lpstr>DAILY TRACKER 5</vt:lpstr>
      <vt:lpstr>DAILY TRACKER 6</vt:lpstr>
      <vt:lpstr>DAILY TRACKER 7</vt:lpstr>
      <vt:lpstr>DAILY TRACKER 8</vt:lpstr>
      <vt:lpstr>DAILY TRACKER 9</vt:lpstr>
      <vt:lpstr>DAILY TRACKER 10</vt:lpstr>
      <vt:lpstr>DAILY TRACKER 11</vt:lpstr>
      <vt:lpstr>June Daily Tracker</vt:lpstr>
      <vt:lpstr>JULY DAILY 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JBS SACCO</cp:lastModifiedBy>
  <dcterms:created xsi:type="dcterms:W3CDTF">2025-08-22T09:08:21Z</dcterms:created>
  <dcterms:modified xsi:type="dcterms:W3CDTF">2026-07-20T14:55:38Z</dcterms:modified>
</cp:coreProperties>
</file>