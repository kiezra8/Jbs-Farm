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5600" windowHeight="9465"/>
  </bookViews>
  <sheets>
    <sheet name="GENERAL MEMBERSHIP" sheetId="1" r:id="rId1"/>
    <sheet name="FARM LIST" sheetId="2" r:id="rId2"/>
    <sheet name="JUNE MEMBERSHIP" sheetId="4" r:id="rId3"/>
    <sheet name="PIONEER" sheetId="5" r:id="rId4"/>
    <sheet name="PHASE 3" sheetId="6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10" i="1" l="1"/>
  <c r="E37" i="6"/>
  <c r="S124" i="1"/>
  <c r="O166" i="4"/>
  <c r="R63" i="4" l="1"/>
  <c r="R40" i="4"/>
  <c r="S175" i="1" l="1"/>
  <c r="U42" i="4" l="1"/>
  <c r="O190" i="4"/>
  <c r="I189" i="4"/>
  <c r="S239" i="1"/>
  <c r="F56" i="6"/>
  <c r="F57" i="6"/>
  <c r="F58" i="6"/>
  <c r="F59" i="6"/>
  <c r="F60" i="6"/>
  <c r="F61" i="6"/>
  <c r="F62" i="6"/>
  <c r="F63" i="6"/>
  <c r="E32" i="6"/>
  <c r="R51" i="4" l="1"/>
  <c r="E15" i="6"/>
  <c r="R170" i="4"/>
  <c r="S308" i="1"/>
  <c r="S69" i="1"/>
  <c r="R146" i="4"/>
  <c r="S95" i="1"/>
  <c r="S256" i="1"/>
  <c r="S304" i="1"/>
  <c r="E27" i="6"/>
  <c r="R166" i="4"/>
  <c r="S182" i="1"/>
  <c r="E20" i="6"/>
  <c r="S248" i="1"/>
  <c r="S23" i="1"/>
  <c r="F55" i="6"/>
  <c r="P147" i="4" l="1"/>
  <c r="S214" i="1" l="1"/>
  <c r="S261" i="1"/>
  <c r="S237" i="1"/>
  <c r="S145" i="1"/>
  <c r="R94" i="4"/>
  <c r="O189" i="4"/>
  <c r="O191" i="4"/>
  <c r="S283" i="1"/>
  <c r="S78" i="1"/>
  <c r="R14" i="4"/>
  <c r="S77" i="1"/>
  <c r="R62" i="4" l="1"/>
  <c r="S123" i="1"/>
  <c r="S41" i="1"/>
  <c r="S217" i="1" l="1"/>
  <c r="E6" i="6"/>
  <c r="R133" i="4"/>
  <c r="S62" i="1"/>
  <c r="S35" i="1"/>
  <c r="S37" i="1"/>
  <c r="S303" i="1"/>
  <c r="P130" i="4"/>
  <c r="E16" i="6"/>
  <c r="S58" i="1"/>
  <c r="E17" i="6"/>
  <c r="F18" i="6"/>
  <c r="S114" i="1" l="1"/>
  <c r="I59" i="1" l="1"/>
  <c r="S59" i="1"/>
  <c r="E24" i="6"/>
  <c r="I12" i="1" l="1"/>
  <c r="S12" i="1"/>
  <c r="S83" i="1"/>
  <c r="Q83" i="1"/>
  <c r="F50" i="6"/>
  <c r="F51" i="6"/>
  <c r="F52" i="6"/>
  <c r="F53" i="6"/>
  <c r="S30" i="1"/>
  <c r="S223" i="1"/>
  <c r="I231" i="1"/>
  <c r="S231" i="1"/>
  <c r="E19" i="6"/>
  <c r="E48" i="6"/>
  <c r="S243" i="1" l="1"/>
  <c r="I144" i="1"/>
  <c r="S144" i="1"/>
  <c r="E38" i="6"/>
  <c r="E13" i="6"/>
  <c r="S212" i="1"/>
  <c r="V16" i="1" l="1"/>
  <c r="I16" i="1"/>
  <c r="S16" i="1"/>
  <c r="F47" i="6" l="1"/>
  <c r="R194" i="4"/>
  <c r="P194" i="4"/>
  <c r="S22" i="1"/>
  <c r="S259" i="1"/>
  <c r="E49" i="6" l="1"/>
  <c r="I156" i="1" l="1"/>
  <c r="S156" i="1"/>
  <c r="S86" i="1"/>
  <c r="S71" i="1"/>
  <c r="S109" i="1" l="1"/>
  <c r="S42" i="1"/>
  <c r="S125" i="4" l="1"/>
  <c r="S124" i="4"/>
  <c r="S123" i="4"/>
  <c r="S181" i="1" l="1"/>
  <c r="S40" i="1" l="1"/>
  <c r="I295" i="1" l="1"/>
  <c r="S295" i="1"/>
  <c r="E36" i="6"/>
  <c r="S152" i="4" l="1"/>
  <c r="S159" i="4"/>
  <c r="S158" i="4"/>
  <c r="S139" i="4"/>
  <c r="S135" i="4"/>
  <c r="S121" i="4"/>
  <c r="S116" i="4"/>
  <c r="S26" i="4"/>
  <c r="S5" i="4"/>
  <c r="S22" i="4"/>
  <c r="S29" i="4"/>
  <c r="S42" i="4"/>
  <c r="S48" i="4"/>
  <c r="S79" i="4"/>
  <c r="S77" i="4"/>
  <c r="S111" i="4"/>
  <c r="S100" i="4"/>
  <c r="S247" i="1" l="1"/>
  <c r="S174" i="1"/>
  <c r="S94" i="1"/>
  <c r="I94" i="1"/>
  <c r="E7" i="6"/>
  <c r="S184" i="4"/>
  <c r="S185" i="4"/>
  <c r="S186" i="4"/>
  <c r="S187" i="4"/>
  <c r="S188" i="4"/>
  <c r="O184" i="4"/>
  <c r="O185" i="4"/>
  <c r="O186" i="4"/>
  <c r="O187" i="4"/>
  <c r="O188" i="4"/>
  <c r="S180" i="4"/>
  <c r="S181" i="4"/>
  <c r="S182" i="4"/>
  <c r="S183" i="4"/>
  <c r="S192" i="4"/>
  <c r="S168" i="1"/>
  <c r="R167" i="4" l="1"/>
  <c r="P167" i="4"/>
  <c r="H167" i="4"/>
  <c r="E39" i="6"/>
  <c r="S309" i="1"/>
  <c r="S194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92" i="4"/>
  <c r="W193" i="4"/>
  <c r="O195" i="4"/>
  <c r="O182" i="4"/>
  <c r="U182" i="4" s="1"/>
  <c r="O181" i="4"/>
  <c r="U181" i="4" s="1"/>
  <c r="I97" i="1"/>
  <c r="S97" i="1"/>
  <c r="V70" i="1" l="1"/>
  <c r="I70" i="1"/>
  <c r="S70" i="1"/>
  <c r="R69" i="4" l="1"/>
  <c r="H62" i="4"/>
  <c r="I77" i="1"/>
  <c r="S28" i="1"/>
  <c r="E14" i="6"/>
  <c r="P168" i="4" l="1"/>
  <c r="H168" i="4"/>
  <c r="O173" i="4" l="1"/>
  <c r="O116" i="4"/>
  <c r="O26" i="4"/>
  <c r="O183" i="4"/>
  <c r="O192" i="4"/>
  <c r="I95" i="1"/>
  <c r="I256" i="1"/>
  <c r="S127" i="1"/>
  <c r="R161" i="4"/>
  <c r="I308" i="1"/>
  <c r="F44" i="6" l="1"/>
  <c r="F45" i="6"/>
  <c r="F46" i="6"/>
  <c r="F42" i="6"/>
  <c r="F43" i="6"/>
  <c r="F48" i="6"/>
  <c r="O121" i="4"/>
  <c r="S55" i="1"/>
  <c r="S273" i="1"/>
  <c r="S39" i="1"/>
  <c r="I26" i="1"/>
  <c r="S26" i="1"/>
  <c r="O22" i="4" l="1"/>
  <c r="F39" i="6"/>
  <c r="F40" i="6"/>
  <c r="F41" i="6"/>
  <c r="F49" i="6"/>
  <c r="F54" i="6"/>
  <c r="O139" i="4"/>
  <c r="F38" i="6"/>
  <c r="F37" i="6" l="1"/>
  <c r="S46" i="1" l="1"/>
  <c r="S136" i="1"/>
  <c r="S99" i="1"/>
  <c r="F36" i="6" l="1"/>
  <c r="O159" i="4" l="1"/>
  <c r="O42" i="4"/>
  <c r="O111" i="4"/>
  <c r="F35" i="6" l="1"/>
  <c r="F34" i="6"/>
  <c r="F33" i="6"/>
  <c r="S255" i="1"/>
  <c r="S204" i="1"/>
  <c r="O77" i="4"/>
  <c r="S152" i="1"/>
  <c r="F32" i="6" l="1"/>
  <c r="F31" i="6"/>
  <c r="W146" i="1" l="1"/>
  <c r="S146" i="1"/>
  <c r="E28" i="6"/>
  <c r="F30" i="6"/>
  <c r="P62" i="4"/>
  <c r="P63" i="4"/>
  <c r="O5" i="4"/>
  <c r="O176" i="4"/>
  <c r="O152" i="4"/>
  <c r="I19" i="1" l="1"/>
  <c r="S19" i="1"/>
  <c r="S298" i="1" l="1"/>
  <c r="F29" i="6"/>
  <c r="F28" i="6"/>
  <c r="S93" i="1"/>
  <c r="S313" i="1"/>
  <c r="F27" i="6"/>
  <c r="F26" i="6"/>
  <c r="O135" i="4"/>
  <c r="F25" i="6"/>
  <c r="F24" i="6"/>
  <c r="F23" i="6"/>
  <c r="E4" i="6"/>
  <c r="S65" i="1"/>
  <c r="R131" i="4"/>
  <c r="F22" i="6"/>
  <c r="F21" i="6"/>
  <c r="F19" i="6"/>
  <c r="F20" i="6" l="1"/>
  <c r="E11" i="6"/>
  <c r="O29" i="4"/>
  <c r="E12" i="6"/>
  <c r="E65" i="6" s="1"/>
  <c r="R153" i="4"/>
  <c r="S44" i="1"/>
  <c r="S166" i="1" l="1"/>
  <c r="S76" i="1" l="1"/>
  <c r="S129" i="1"/>
  <c r="O79" i="4"/>
  <c r="O158" i="4"/>
  <c r="S257" i="1"/>
  <c r="S111" i="1"/>
  <c r="I194" i="4" l="1"/>
  <c r="H194" i="4"/>
  <c r="S11" i="4"/>
  <c r="S101" i="4"/>
  <c r="S167" i="4"/>
  <c r="S55" i="4"/>
  <c r="O101" i="4"/>
  <c r="U101" i="4" s="1"/>
  <c r="O11" i="4"/>
  <c r="U11" i="4" s="1"/>
  <c r="O167" i="4"/>
  <c r="U167" i="4" s="1"/>
  <c r="O55" i="4"/>
  <c r="O72" i="4"/>
  <c r="O193" i="4"/>
  <c r="S161" i="1" l="1"/>
  <c r="F5" i="6" l="1"/>
  <c r="F6" i="6"/>
  <c r="F7" i="6"/>
  <c r="F8" i="6"/>
  <c r="F9" i="6"/>
  <c r="F10" i="6"/>
  <c r="F11" i="6"/>
  <c r="F12" i="6"/>
  <c r="F13" i="6"/>
  <c r="F14" i="6"/>
  <c r="F15" i="6"/>
  <c r="F16" i="6"/>
  <c r="F17" i="6"/>
  <c r="F64" i="6"/>
  <c r="F4" i="6"/>
  <c r="H119" i="4"/>
  <c r="S118" i="1"/>
  <c r="S34" i="1"/>
  <c r="F65" i="6" l="1"/>
  <c r="S80" i="4"/>
  <c r="S72" i="4"/>
  <c r="S193" i="4"/>
  <c r="S58" i="4"/>
  <c r="S89" i="4"/>
  <c r="S20" i="4"/>
  <c r="S75" i="4"/>
  <c r="S54" i="4"/>
  <c r="S44" i="4"/>
  <c r="S136" i="4"/>
  <c r="S66" i="4"/>
  <c r="S96" i="4"/>
  <c r="S41" i="4"/>
  <c r="S172" i="4"/>
  <c r="S113" i="4"/>
  <c r="S150" i="4"/>
  <c r="S94" i="4"/>
  <c r="S138" i="4"/>
  <c r="S57" i="4"/>
  <c r="S128" i="4"/>
  <c r="S130" i="4"/>
  <c r="S76" i="4"/>
  <c r="S61" i="4"/>
  <c r="S28" i="4"/>
  <c r="S166" i="4"/>
  <c r="S114" i="4"/>
  <c r="S95" i="4"/>
  <c r="S70" i="4"/>
  <c r="S7" i="4"/>
  <c r="S103" i="4"/>
  <c r="S129" i="4"/>
  <c r="S102" i="4"/>
  <c r="S107" i="4"/>
  <c r="S146" i="4"/>
  <c r="S60" i="4"/>
  <c r="S118" i="4"/>
  <c r="S119" i="4"/>
  <c r="S47" i="4"/>
  <c r="S52" i="4"/>
  <c r="S45" i="4"/>
  <c r="U72" i="4"/>
  <c r="U193" i="4"/>
  <c r="R74" i="4"/>
  <c r="P74" i="4"/>
  <c r="O80" i="4"/>
  <c r="U80" i="4" s="1"/>
  <c r="S271" i="1"/>
  <c r="S297" i="1"/>
  <c r="P163" i="4"/>
  <c r="S211" i="1"/>
  <c r="O96" i="4" l="1"/>
  <c r="U96" i="4" s="1"/>
  <c r="O66" i="4"/>
  <c r="U66" i="4" s="1"/>
  <c r="R168" i="4"/>
  <c r="O44" i="4"/>
  <c r="U44" i="4" s="1"/>
  <c r="O136" i="4"/>
  <c r="U136" i="4" s="1"/>
  <c r="S319" i="1"/>
  <c r="O75" i="4"/>
  <c r="U75" i="4" s="1"/>
  <c r="O20" i="4"/>
  <c r="U20" i="4" s="1"/>
  <c r="S122" i="1"/>
  <c r="O89" i="4"/>
  <c r="U89" i="4" s="1"/>
  <c r="O54" i="4"/>
  <c r="U54" i="4" s="1"/>
  <c r="S98" i="1"/>
  <c r="O58" i="4"/>
  <c r="U58" i="4" s="1"/>
  <c r="O28" i="4"/>
  <c r="U28" i="4" s="1"/>
  <c r="O130" i="4" l="1"/>
  <c r="U130" i="4" s="1"/>
  <c r="S226" i="1"/>
  <c r="S100" i="1"/>
  <c r="S222" i="1"/>
  <c r="S238" i="1"/>
  <c r="O128" i="4"/>
  <c r="U128" i="4" s="1"/>
  <c r="O76" i="4"/>
  <c r="U76" i="4" s="1"/>
  <c r="R142" i="4"/>
  <c r="O150" i="4" l="1"/>
  <c r="U150" i="4" s="1"/>
  <c r="I155" i="1"/>
  <c r="S155" i="1"/>
  <c r="S170" i="1"/>
  <c r="S80" i="1"/>
  <c r="S232" i="1"/>
  <c r="O172" i="4"/>
  <c r="U172" i="4" s="1"/>
  <c r="O114" i="4"/>
  <c r="U114" i="4" s="1"/>
  <c r="S219" i="1"/>
  <c r="U166" i="4"/>
  <c r="S188" i="1"/>
  <c r="O45" i="4"/>
  <c r="U45" i="4" s="1"/>
  <c r="O52" i="4"/>
  <c r="U52" i="4" s="1"/>
  <c r="S316" i="1"/>
  <c r="O47" i="4"/>
  <c r="U47" i="4" s="1"/>
  <c r="O119" i="4"/>
  <c r="U119" i="4" s="1"/>
  <c r="O118" i="4"/>
  <c r="U118" i="4" s="1"/>
  <c r="O60" i="4"/>
  <c r="U60" i="4" s="1"/>
  <c r="O146" i="4"/>
  <c r="U146" i="4" s="1"/>
  <c r="S167" i="1"/>
  <c r="O7" i="4"/>
  <c r="U7" i="4" s="1"/>
  <c r="O103" i="4"/>
  <c r="U103" i="4" s="1"/>
  <c r="O129" i="4"/>
  <c r="U129" i="4" s="1"/>
  <c r="O95" i="4"/>
  <c r="U95" i="4" s="1"/>
  <c r="O70" i="4"/>
  <c r="U70" i="4" s="1"/>
  <c r="O102" i="4"/>
  <c r="U102" i="4" s="1"/>
  <c r="O107" i="4"/>
  <c r="U107" i="4" s="1"/>
  <c r="S25" i="1"/>
  <c r="S8" i="4" l="1"/>
  <c r="S51" i="4"/>
  <c r="S35" i="4"/>
  <c r="S143" i="4"/>
  <c r="S49" i="4"/>
  <c r="S154" i="4"/>
  <c r="S25" i="4"/>
  <c r="S92" i="4"/>
  <c r="S168" i="4"/>
  <c r="S108" i="4"/>
  <c r="S82" i="4"/>
  <c r="S34" i="4"/>
  <c r="S175" i="4"/>
  <c r="S10" i="4"/>
  <c r="S84" i="4"/>
  <c r="S126" i="4"/>
  <c r="S104" i="4"/>
  <c r="S141" i="4"/>
  <c r="S127" i="4"/>
  <c r="S12" i="4"/>
  <c r="S85" i="4"/>
  <c r="S91" i="4"/>
  <c r="O113" i="4" l="1"/>
  <c r="U113" i="4" s="1"/>
  <c r="O94" i="4"/>
  <c r="U94" i="4" s="1"/>
  <c r="O138" i="4"/>
  <c r="U138" i="4" s="1"/>
  <c r="O57" i="4"/>
  <c r="U57" i="4" s="1"/>
  <c r="S75" i="1"/>
  <c r="S201" i="1" l="1"/>
  <c r="S91" i="1"/>
  <c r="O10" i="4" l="1"/>
  <c r="U10" i="4" s="1"/>
  <c r="O175" i="4"/>
  <c r="U175" i="4" s="1"/>
  <c r="O34" i="4"/>
  <c r="U34" i="4" s="1"/>
  <c r="O82" i="4"/>
  <c r="U82" i="4" s="1"/>
  <c r="S198" i="1"/>
  <c r="O108" i="4"/>
  <c r="U108" i="4" s="1"/>
  <c r="O91" i="4"/>
  <c r="U91" i="4" s="1"/>
  <c r="P179" i="4" l="1"/>
  <c r="G179" i="4"/>
  <c r="O85" i="4"/>
  <c r="U85" i="4" s="1"/>
  <c r="O92" i="4"/>
  <c r="U92" i="4" s="1"/>
  <c r="O168" i="4"/>
  <c r="U168" i="4" s="1"/>
  <c r="O61" i="4"/>
  <c r="U61" i="4" s="1"/>
  <c r="O12" i="4"/>
  <c r="U12" i="4" s="1"/>
  <c r="S162" i="1"/>
  <c r="H162" i="1"/>
  <c r="H215" i="1"/>
  <c r="S215" i="1"/>
  <c r="G25" i="4"/>
  <c r="G127" i="4"/>
  <c r="O127" i="4" s="1"/>
  <c r="U127" i="4" s="1"/>
  <c r="O141" i="4" l="1"/>
  <c r="U141" i="4" s="1"/>
  <c r="O104" i="4"/>
  <c r="U104" i="4" s="1"/>
  <c r="O126" i="4"/>
  <c r="U126" i="4" s="1"/>
  <c r="O84" i="4"/>
  <c r="U84" i="4" s="1"/>
  <c r="H295" i="1"/>
  <c r="U91" i="1"/>
  <c r="U28" i="1" l="1"/>
  <c r="O137" i="4"/>
  <c r="U137" i="4" s="1"/>
  <c r="O144" i="4"/>
  <c r="U144" i="4" s="1"/>
  <c r="O25" i="4"/>
  <c r="U25" i="4" s="1"/>
  <c r="O154" i="4"/>
  <c r="U154" i="4" s="1"/>
  <c r="S18" i="1"/>
  <c r="U295" i="1"/>
  <c r="O49" i="4"/>
  <c r="U49" i="4" s="1"/>
  <c r="H69" i="1"/>
  <c r="O143" i="4"/>
  <c r="U143" i="4" s="1"/>
  <c r="O35" i="4"/>
  <c r="U35" i="4" s="1"/>
  <c r="O51" i="4"/>
  <c r="U51" i="4" s="1"/>
  <c r="O8" i="4"/>
  <c r="U8" i="4" s="1"/>
  <c r="S160" i="4"/>
  <c r="S16" i="4"/>
  <c r="S144" i="4"/>
  <c r="S137" i="4"/>
  <c r="O16" i="4"/>
  <c r="U16" i="4" s="1"/>
  <c r="O160" i="4"/>
  <c r="U160" i="4" s="1"/>
  <c r="O48" i="4"/>
  <c r="U48" i="4" s="1"/>
  <c r="O100" i="4" l="1"/>
  <c r="U100" i="4" s="1"/>
  <c r="O180" i="4"/>
  <c r="U180" i="4" s="1"/>
  <c r="S20" i="1"/>
  <c r="G133" i="4"/>
  <c r="H39" i="1"/>
  <c r="H273" i="1"/>
  <c r="P109" i="4"/>
  <c r="G109" i="4"/>
  <c r="P6" i="4"/>
  <c r="G6" i="4"/>
  <c r="G194" i="4" s="1"/>
  <c r="H103" i="1"/>
  <c r="H104" i="1"/>
  <c r="H105" i="1"/>
  <c r="S105" i="1"/>
  <c r="S104" i="1"/>
  <c r="S103" i="1"/>
  <c r="S301" i="1"/>
  <c r="S18" i="4"/>
  <c r="S71" i="4"/>
  <c r="S134" i="4"/>
  <c r="S53" i="4"/>
  <c r="S50" i="4"/>
  <c r="S4" i="4"/>
  <c r="O134" i="4"/>
  <c r="U134" i="4" s="1"/>
  <c r="O53" i="4"/>
  <c r="U53" i="4" s="1"/>
  <c r="O50" i="4"/>
  <c r="U50" i="4" s="1"/>
  <c r="H156" i="1" l="1"/>
  <c r="U282" i="1"/>
  <c r="S282" i="1"/>
  <c r="G164" i="4" l="1"/>
  <c r="S45" i="1" l="1"/>
  <c r="H29" i="1"/>
  <c r="S29" i="1"/>
  <c r="O18" i="4"/>
  <c r="U18" i="4" s="1"/>
  <c r="O71" i="4"/>
  <c r="U71" i="4" s="1"/>
  <c r="O4" i="4"/>
  <c r="U4" i="4" s="1"/>
  <c r="O148" i="4"/>
  <c r="U148" i="4" s="1"/>
  <c r="O41" i="4"/>
  <c r="U41" i="4" s="1"/>
  <c r="H151" i="1" l="1"/>
  <c r="U151" i="1"/>
  <c r="S151" i="1"/>
  <c r="U22" i="1"/>
  <c r="H22" i="1"/>
  <c r="G62" i="4"/>
  <c r="O131" i="4"/>
  <c r="S300" i="1"/>
  <c r="U243" i="1"/>
  <c r="U107" i="1"/>
  <c r="S107" i="1"/>
  <c r="U89" i="1"/>
  <c r="S89" i="1"/>
  <c r="U95" i="1"/>
  <c r="H95" i="1"/>
  <c r="H256" i="1"/>
  <c r="U256" i="1"/>
  <c r="O171" i="4" l="1"/>
  <c r="H70" i="1" l="1"/>
  <c r="O151" i="4"/>
  <c r="R132" i="4" l="1"/>
  <c r="G132" i="4"/>
  <c r="O6" i="4" l="1"/>
  <c r="U10" i="1" l="1"/>
  <c r="S10" i="1"/>
  <c r="S160" i="1" l="1"/>
  <c r="U154" i="1" l="1"/>
  <c r="S154" i="1"/>
  <c r="G83" i="4" l="1"/>
  <c r="S24" i="1" l="1"/>
  <c r="S38" i="1"/>
  <c r="G74" i="4" l="1"/>
  <c r="S9" i="4"/>
  <c r="S83" i="4"/>
  <c r="S170" i="4"/>
  <c r="S6" i="4"/>
  <c r="S151" i="4"/>
  <c r="S171" i="4"/>
  <c r="S131" i="4"/>
  <c r="O170" i="4"/>
  <c r="U170" i="4" l="1"/>
  <c r="U6" i="4"/>
  <c r="U151" i="4"/>
  <c r="U171" i="4"/>
  <c r="U131" i="4"/>
  <c r="O83" i="4"/>
  <c r="U83" i="4" s="1"/>
  <c r="S128" i="1"/>
  <c r="R73" i="4" l="1"/>
  <c r="S260" i="1"/>
  <c r="O9" i="4" l="1"/>
  <c r="U9" i="4" s="1"/>
  <c r="S14" i="1"/>
  <c r="H16" i="1" l="1"/>
  <c r="U159" i="1" l="1"/>
  <c r="S159" i="1"/>
  <c r="U286" i="1" l="1"/>
  <c r="S286" i="1"/>
  <c r="S315" i="1"/>
  <c r="U16" i="1" l="1"/>
  <c r="U257" i="1"/>
  <c r="S140" i="4" l="1"/>
  <c r="S117" i="4"/>
  <c r="S156" i="4"/>
  <c r="O117" i="4"/>
  <c r="U117" i="4" s="1"/>
  <c r="O156" i="4"/>
  <c r="U156" i="4" s="1"/>
  <c r="O140" i="4"/>
  <c r="U140" i="4" s="1"/>
  <c r="H259" i="1"/>
  <c r="G115" i="4"/>
  <c r="U23" i="1" l="1"/>
  <c r="S312" i="1"/>
  <c r="U137" i="1"/>
  <c r="S137" i="1"/>
  <c r="H146" i="1"/>
  <c r="P112" i="4"/>
  <c r="H308" i="1" l="1"/>
  <c r="S206" i="1" l="1"/>
  <c r="P69" i="4" l="1"/>
  <c r="U97" i="1"/>
  <c r="H297" i="1"/>
  <c r="S191" i="1"/>
  <c r="G69" i="4"/>
  <c r="U98" i="1"/>
  <c r="S184" i="1"/>
  <c r="S56" i="1" l="1"/>
  <c r="U26" i="1"/>
  <c r="U273" i="1"/>
  <c r="U39" i="1"/>
  <c r="S208" i="1" l="1"/>
  <c r="F208" i="1"/>
  <c r="S109" i="4" l="1"/>
  <c r="S21" i="4"/>
  <c r="S62" i="4"/>
  <c r="S164" i="4"/>
  <c r="S169" i="4"/>
  <c r="S115" i="4"/>
  <c r="O109" i="4"/>
  <c r="U109" i="4" s="1"/>
  <c r="O21" i="4"/>
  <c r="U21" i="4" s="1"/>
  <c r="O62" i="4"/>
  <c r="U62" i="4" s="1"/>
  <c r="O164" i="4"/>
  <c r="U164" i="4" s="1"/>
  <c r="O169" i="4"/>
  <c r="U169" i="4" s="1"/>
  <c r="O115" i="4"/>
  <c r="U182" i="1"/>
  <c r="U46" i="1"/>
  <c r="S193" i="1"/>
  <c r="S287" i="1"/>
  <c r="S254" i="1"/>
  <c r="S132" i="4" l="1"/>
  <c r="S36" i="4"/>
  <c r="S161" i="4"/>
  <c r="S98" i="4"/>
  <c r="S148" i="4"/>
  <c r="U316" i="1"/>
  <c r="S47" i="1"/>
  <c r="U105" i="1"/>
  <c r="U104" i="1"/>
  <c r="U103" i="1"/>
  <c r="P133" i="4"/>
  <c r="U123" i="1"/>
  <c r="S64" i="1"/>
  <c r="S53" i="1" l="1"/>
  <c r="P64" i="4"/>
  <c r="U249" i="1"/>
  <c r="S249" i="1"/>
  <c r="U222" i="1"/>
  <c r="S68" i="1"/>
  <c r="P178" i="4"/>
  <c r="O132" i="4" l="1"/>
  <c r="U132" i="4" s="1"/>
  <c r="O36" i="4"/>
  <c r="U36" i="4" s="1"/>
  <c r="O161" i="4"/>
  <c r="U161" i="4" s="1"/>
  <c r="O98" i="4"/>
  <c r="U98" i="4" s="1"/>
  <c r="U115" i="4"/>
  <c r="U130" i="1" l="1"/>
  <c r="S130" i="1"/>
  <c r="U86" i="1"/>
  <c r="U303" i="1"/>
  <c r="P110" i="4"/>
  <c r="U166" i="1"/>
  <c r="U214" i="1"/>
  <c r="S194" i="1" l="1"/>
  <c r="U67" i="1"/>
  <c r="S67" i="1"/>
  <c r="U230" i="1"/>
  <c r="S230" i="1"/>
  <c r="U248" i="1"/>
  <c r="U212" i="1" l="1"/>
  <c r="U59" i="1"/>
  <c r="U241" i="1"/>
  <c r="S241" i="1"/>
  <c r="U202" i="1"/>
  <c r="S202" i="1"/>
  <c r="G242" i="1"/>
  <c r="S242" i="1"/>
  <c r="G144" i="1"/>
  <c r="U144" i="1"/>
  <c r="U279" i="1" l="1"/>
  <c r="G279" i="1"/>
  <c r="S279" i="1"/>
  <c r="G295" i="1"/>
  <c r="Q268" i="1"/>
  <c r="S268" i="1"/>
  <c r="G82" i="1" l="1"/>
  <c r="S82" i="1"/>
  <c r="G304" i="1" l="1"/>
  <c r="U304" i="1"/>
  <c r="U198" i="1"/>
  <c r="G157" i="1" l="1"/>
  <c r="S157" i="1"/>
  <c r="U300" i="1" l="1"/>
  <c r="U229" i="1" l="1"/>
  <c r="S229" i="1"/>
  <c r="G95" i="1" l="1"/>
  <c r="G256" i="1"/>
  <c r="C7" i="5" l="1"/>
  <c r="G70" i="1" l="1"/>
  <c r="T74" i="1"/>
  <c r="T70" i="1"/>
  <c r="G146" i="1" l="1"/>
  <c r="U247" i="1"/>
  <c r="U14" i="1" l="1"/>
  <c r="O87" i="4"/>
  <c r="U87" i="4" s="1"/>
  <c r="O142" i="4"/>
  <c r="U142" i="4" s="1"/>
  <c r="Q197" i="4"/>
  <c r="W3" i="4"/>
  <c r="S90" i="4"/>
  <c r="S133" i="4"/>
  <c r="S87" i="4"/>
  <c r="S142" i="4"/>
  <c r="O133" i="4"/>
  <c r="U133" i="4" s="1"/>
  <c r="U118" i="1"/>
  <c r="O90" i="4"/>
  <c r="U90" i="4" s="1"/>
  <c r="G71" i="1"/>
  <c r="U71" i="1"/>
  <c r="U161" i="1" l="1"/>
  <c r="P39" i="4" l="1"/>
  <c r="U287" i="1"/>
  <c r="S252" i="1"/>
  <c r="F177" i="4" l="1"/>
  <c r="U204" i="1"/>
  <c r="U217" i="1"/>
  <c r="U302" i="1" l="1"/>
  <c r="S302" i="1"/>
  <c r="S164" i="1" l="1"/>
  <c r="S85" i="1"/>
  <c r="S149" i="1"/>
  <c r="U127" i="1" l="1"/>
  <c r="U41" i="1"/>
  <c r="U40" i="1" l="1"/>
  <c r="T40" i="1" s="1"/>
  <c r="T129" i="1" l="1"/>
  <c r="G129" i="1"/>
  <c r="Q19" i="1"/>
  <c r="U163" i="1"/>
  <c r="S163" i="1"/>
  <c r="U309" i="1"/>
  <c r="U259" i="1" l="1"/>
  <c r="S133" i="1"/>
  <c r="G133" i="1"/>
  <c r="U133" i="1" l="1"/>
  <c r="U93" i="1"/>
  <c r="S122" i="4"/>
  <c r="S24" i="4"/>
  <c r="S162" i="4"/>
  <c r="S177" i="4"/>
  <c r="S3" i="4"/>
  <c r="O122" i="4"/>
  <c r="U122" i="4" s="1"/>
  <c r="O24" i="4"/>
  <c r="U24" i="4" s="1"/>
  <c r="O162" i="4"/>
  <c r="U162" i="4" s="1"/>
  <c r="O177" i="4"/>
  <c r="U177" i="4" s="1"/>
  <c r="O124" i="4"/>
  <c r="U124" i="4" s="1"/>
  <c r="O3" i="4"/>
  <c r="T295" i="1"/>
  <c r="U3" i="4" l="1"/>
  <c r="F151" i="1"/>
  <c r="S78" i="4" l="1"/>
  <c r="S63" i="4"/>
  <c r="S19" i="4"/>
  <c r="O78" i="4"/>
  <c r="U78" i="4" s="1"/>
  <c r="O63" i="4"/>
  <c r="U63" i="4" s="1"/>
  <c r="O19" i="4"/>
  <c r="U19" i="4" s="1"/>
  <c r="U82" i="1"/>
  <c r="G69" i="1" l="1"/>
  <c r="U175" i="1"/>
  <c r="U261" i="1"/>
  <c r="U179" i="1" l="1"/>
  <c r="S179" i="1"/>
  <c r="G97" i="1"/>
  <c r="U35" i="1"/>
  <c r="U231" i="1"/>
  <c r="G156" i="1"/>
  <c r="U124" i="1"/>
  <c r="U168" i="1" l="1"/>
  <c r="U167" i="1"/>
  <c r="S310" i="1"/>
  <c r="F40" i="4"/>
  <c r="F194" i="4" s="1"/>
  <c r="S163" i="4"/>
  <c r="S64" i="4"/>
  <c r="S145" i="4"/>
  <c r="S67" i="4"/>
  <c r="S30" i="4"/>
  <c r="S153" i="4"/>
  <c r="O163" i="4"/>
  <c r="U163" i="4" s="1"/>
  <c r="O64" i="4"/>
  <c r="U64" i="4" s="1"/>
  <c r="O145" i="4"/>
  <c r="U145" i="4" s="1"/>
  <c r="O67" i="4"/>
  <c r="U67" i="4" s="1"/>
  <c r="O30" i="4"/>
  <c r="U30" i="4" s="1"/>
  <c r="O179" i="4"/>
  <c r="U179" i="4" s="1"/>
  <c r="O38" i="4"/>
  <c r="U38" i="4" s="1"/>
  <c r="O153" i="4"/>
  <c r="U153" i="4" s="1"/>
  <c r="S179" i="4"/>
  <c r="S38" i="4"/>
  <c r="C32" i="5" l="1"/>
  <c r="C29" i="5"/>
  <c r="U219" i="1"/>
  <c r="S180" i="1" l="1"/>
  <c r="U152" i="1"/>
  <c r="Q153" i="1"/>
  <c r="P32" i="4" l="1"/>
  <c r="U78" i="1"/>
  <c r="U58" i="1"/>
  <c r="P155" i="4" l="1"/>
  <c r="U121" i="1"/>
  <c r="S121" i="1"/>
  <c r="G193" i="1" l="1"/>
  <c r="U25" i="1"/>
  <c r="U170" i="1" l="1"/>
  <c r="U190" i="1"/>
  <c r="C8" i="5" l="1"/>
  <c r="Q23" i="1"/>
  <c r="F23" i="1"/>
  <c r="F304" i="1" l="1"/>
  <c r="U119" i="1"/>
  <c r="S119" i="1"/>
  <c r="U160" i="1"/>
  <c r="U100" i="1"/>
  <c r="F242" i="1" l="1"/>
  <c r="U83" i="1"/>
  <c r="F166" i="1"/>
  <c r="F22" i="1"/>
  <c r="F256" i="1" l="1"/>
  <c r="F204" i="1" l="1"/>
  <c r="Q204" i="1"/>
  <c r="F295" i="1" l="1"/>
  <c r="F259" i="1"/>
  <c r="P15" i="4" l="1"/>
  <c r="T24" i="1"/>
  <c r="P200" i="4" l="1"/>
  <c r="F193" i="1"/>
  <c r="R325" i="1"/>
  <c r="Q193" i="1"/>
  <c r="E18" i="5" l="1"/>
  <c r="C19" i="5"/>
  <c r="S147" i="1" l="1"/>
  <c r="F147" i="1"/>
  <c r="F97" i="1" l="1"/>
  <c r="E32" i="4"/>
  <c r="E194" i="4" s="1"/>
  <c r="G42" i="5"/>
  <c r="C6" i="5"/>
  <c r="C10" i="5"/>
  <c r="C11" i="5"/>
  <c r="C12" i="5"/>
  <c r="C17" i="5"/>
  <c r="C18" i="5"/>
  <c r="C20" i="5"/>
  <c r="C21" i="5"/>
  <c r="C28" i="5"/>
  <c r="C34" i="5"/>
  <c r="C45" i="5"/>
  <c r="D52" i="5"/>
  <c r="E48" i="5"/>
  <c r="Q88" i="1"/>
  <c r="T208" i="1"/>
  <c r="Q295" i="1" l="1"/>
  <c r="T199" i="1" l="1"/>
  <c r="F19" i="1" l="1"/>
  <c r="Q53" i="1"/>
  <c r="F53" i="1"/>
  <c r="S186" i="1" l="1"/>
  <c r="U186" i="1" s="1"/>
  <c r="F49" i="1"/>
  <c r="S141" i="1"/>
  <c r="F141" i="1"/>
  <c r="Q114" i="1"/>
  <c r="Q223" i="1"/>
  <c r="Q82" i="1"/>
  <c r="F319" i="1"/>
  <c r="Q319" i="1"/>
  <c r="X323" i="1" l="1"/>
  <c r="Q49" i="1"/>
  <c r="Q63" i="1"/>
  <c r="Q102" i="1"/>
  <c r="F46" i="1"/>
  <c r="Q46" i="1"/>
  <c r="Q315" i="1"/>
  <c r="C13" i="5" l="1"/>
  <c r="C5" i="5"/>
  <c r="F13" i="1"/>
  <c r="Q13" i="1"/>
  <c r="C54" i="5"/>
  <c r="C42" i="5"/>
  <c r="F309" i="1" l="1"/>
  <c r="S33" i="1" l="1"/>
  <c r="Q296" i="1" l="1"/>
  <c r="S356" i="1"/>
  <c r="C26" i="5"/>
  <c r="C38" i="5"/>
  <c r="P25" i="1"/>
  <c r="V325" i="1"/>
  <c r="F266" i="1"/>
  <c r="Q266" i="1"/>
  <c r="Q141" i="1"/>
  <c r="Q289" i="1" l="1"/>
  <c r="C41" i="5"/>
  <c r="C9" i="5" l="1"/>
  <c r="C23" i="5"/>
  <c r="C24" i="5"/>
  <c r="C27" i="5"/>
  <c r="C33" i="5"/>
  <c r="C46" i="5"/>
  <c r="C44" i="5"/>
  <c r="E55" i="5"/>
  <c r="E54" i="5"/>
  <c r="Q97" i="1"/>
  <c r="S197" i="1"/>
  <c r="U197" i="1" s="1"/>
  <c r="F124" i="1" l="1"/>
  <c r="Q124" i="1"/>
  <c r="S350" i="1" l="1"/>
  <c r="U85" i="1" l="1"/>
  <c r="Q45" i="1" l="1"/>
  <c r="U164" i="1"/>
  <c r="S251" i="1"/>
  <c r="Q149" i="1"/>
  <c r="P219" i="1" l="1"/>
  <c r="Q219" i="1"/>
  <c r="C47" i="5"/>
  <c r="Q321" i="1" l="1"/>
  <c r="U111" i="1"/>
  <c r="Q313" i="1" l="1"/>
  <c r="S79" i="1"/>
  <c r="E295" i="1" l="1"/>
  <c r="C22" i="5"/>
  <c r="C43" i="5"/>
  <c r="Q117" i="1"/>
  <c r="T79" i="1"/>
  <c r="E316" i="1"/>
  <c r="Q303" i="1"/>
  <c r="D147" i="4" l="1"/>
  <c r="P321" i="1"/>
  <c r="P297" i="1"/>
  <c r="D194" i="4" l="1"/>
  <c r="E200" i="4" s="1"/>
  <c r="S190" i="1"/>
  <c r="S227" i="1" l="1"/>
  <c r="U227" i="1" s="1"/>
  <c r="E242" i="1" l="1"/>
  <c r="E88" i="1" l="1"/>
  <c r="E35" i="1" l="1"/>
  <c r="Q35" i="1"/>
  <c r="T243" i="1"/>
  <c r="E277" i="1" l="1"/>
  <c r="E42" i="1" l="1"/>
  <c r="E204" i="1"/>
  <c r="U53" i="1"/>
  <c r="Q317" i="1" l="1"/>
  <c r="E124" i="1" l="1"/>
  <c r="C131" i="1" l="1"/>
  <c r="U94" i="1" l="1"/>
  <c r="E289" i="1" l="1"/>
  <c r="X144" i="1"/>
  <c r="X277" i="1"/>
  <c r="E149" i="1" l="1"/>
  <c r="E181" i="1" l="1"/>
  <c r="E23" i="5"/>
  <c r="E9" i="5"/>
  <c r="E53" i="5"/>
  <c r="C52" i="5"/>
  <c r="E52" i="5" s="1"/>
  <c r="E51" i="5"/>
  <c r="E50" i="5"/>
  <c r="E49" i="5"/>
  <c r="E47" i="5"/>
  <c r="E46" i="5"/>
  <c r="E45" i="5"/>
  <c r="E44" i="5"/>
  <c r="E43" i="5"/>
  <c r="E42" i="5"/>
  <c r="E41" i="5"/>
  <c r="E40" i="5"/>
  <c r="E39" i="5"/>
  <c r="E38" i="5"/>
  <c r="C37" i="5"/>
  <c r="E37" i="5" s="1"/>
  <c r="C36" i="5"/>
  <c r="E36" i="5" s="1"/>
  <c r="E35" i="5"/>
  <c r="E34" i="5"/>
  <c r="E33" i="5"/>
  <c r="E32" i="5"/>
  <c r="E31" i="5"/>
  <c r="E29" i="5"/>
  <c r="E28" i="5"/>
  <c r="E27" i="5"/>
  <c r="E26" i="5"/>
  <c r="E25" i="5"/>
  <c r="E24" i="5"/>
  <c r="E22" i="5"/>
  <c r="E21" i="5"/>
  <c r="E20" i="5"/>
  <c r="E17" i="5"/>
  <c r="E16" i="5"/>
  <c r="C15" i="5"/>
  <c r="E15" i="5" s="1"/>
  <c r="C14" i="5"/>
  <c r="E14" i="5" s="1"/>
  <c r="E13" i="5"/>
  <c r="E12" i="5"/>
  <c r="E11" i="5"/>
  <c r="E10" i="5"/>
  <c r="E8" i="5"/>
  <c r="E7" i="5"/>
  <c r="E6" i="5"/>
  <c r="C58" i="5" l="1"/>
  <c r="E5" i="5"/>
  <c r="E58" i="5" s="1"/>
  <c r="E34" i="1" l="1"/>
  <c r="Q34" i="1"/>
  <c r="X45" i="1" l="1"/>
  <c r="U181" i="1"/>
  <c r="T181" i="1" s="1"/>
  <c r="C116" i="2" l="1"/>
  <c r="S174" i="4" l="1"/>
  <c r="S149" i="4"/>
  <c r="S147" i="4"/>
  <c r="S56" i="4"/>
  <c r="S39" i="4"/>
  <c r="S65" i="4"/>
  <c r="S178" i="4"/>
  <c r="S112" i="4"/>
  <c r="S32" i="4"/>
  <c r="S37" i="4"/>
  <c r="S155" i="4"/>
  <c r="S74" i="4"/>
  <c r="S110" i="4"/>
  <c r="S106" i="4"/>
  <c r="S105" i="4"/>
  <c r="S69" i="4"/>
  <c r="S33" i="4"/>
  <c r="S43" i="4"/>
  <c r="S120" i="4"/>
  <c r="S59" i="4"/>
  <c r="S93" i="4"/>
  <c r="S88" i="4"/>
  <c r="S17" i="4"/>
  <c r="S31" i="4"/>
  <c r="S73" i="4"/>
  <c r="S97" i="4"/>
  <c r="S81" i="4"/>
  <c r="S165" i="4"/>
  <c r="S157" i="4"/>
  <c r="S99" i="4"/>
  <c r="S13" i="4"/>
  <c r="S68" i="4"/>
  <c r="S27" i="4"/>
  <c r="S40" i="4"/>
  <c r="S23" i="4"/>
  <c r="O86" i="4"/>
  <c r="O23" i="4"/>
  <c r="U23" i="4" s="1"/>
  <c r="O40" i="4"/>
  <c r="U40" i="4" s="1"/>
  <c r="O27" i="4"/>
  <c r="U27" i="4" s="1"/>
  <c r="O68" i="4"/>
  <c r="O13" i="4"/>
  <c r="O99" i="4"/>
  <c r="U99" i="4" s="1"/>
  <c r="O157" i="4"/>
  <c r="U157" i="4" s="1"/>
  <c r="O165" i="4"/>
  <c r="U165" i="4" s="1"/>
  <c r="O81" i="4"/>
  <c r="U81" i="4" s="1"/>
  <c r="O97" i="4"/>
  <c r="O73" i="4"/>
  <c r="U73" i="4" s="1"/>
  <c r="O31" i="4"/>
  <c r="U31" i="4" s="1"/>
  <c r="O17" i="4"/>
  <c r="U17" i="4" s="1"/>
  <c r="O88" i="4"/>
  <c r="U88" i="4" s="1"/>
  <c r="O93" i="4"/>
  <c r="U93" i="4" s="1"/>
  <c r="O59" i="4"/>
  <c r="U59" i="4" s="1"/>
  <c r="O120" i="4"/>
  <c r="U120" i="4" s="1"/>
  <c r="O43" i="4"/>
  <c r="U43" i="4" s="1"/>
  <c r="O33" i="4"/>
  <c r="U33" i="4" s="1"/>
  <c r="O69" i="4"/>
  <c r="O105" i="4"/>
  <c r="U105" i="4" s="1"/>
  <c r="O106" i="4"/>
  <c r="U106" i="4" s="1"/>
  <c r="O110" i="4"/>
  <c r="U110" i="4" s="1"/>
  <c r="O125" i="4"/>
  <c r="U125" i="4" s="1"/>
  <c r="O74" i="4"/>
  <c r="U74" i="4" s="1"/>
  <c r="O155" i="4"/>
  <c r="U155" i="4" s="1"/>
  <c r="O37" i="4"/>
  <c r="O32" i="4"/>
  <c r="U32" i="4" s="1"/>
  <c r="O112" i="4"/>
  <c r="O178" i="4"/>
  <c r="U178" i="4" s="1"/>
  <c r="O65" i="4"/>
  <c r="U65" i="4" s="1"/>
  <c r="O39" i="4"/>
  <c r="U39" i="4" s="1"/>
  <c r="O56" i="4"/>
  <c r="U56" i="4" s="1"/>
  <c r="O147" i="4"/>
  <c r="U147" i="4" s="1"/>
  <c r="O149" i="4"/>
  <c r="U149" i="4" s="1"/>
  <c r="O174" i="4"/>
  <c r="U174" i="4" s="1"/>
  <c r="S15" i="4"/>
  <c r="O15" i="4"/>
  <c r="U15" i="4" s="1"/>
  <c r="O123" i="4"/>
  <c r="U123" i="4" s="1"/>
  <c r="S46" i="4"/>
  <c r="O46" i="4"/>
  <c r="U46" i="4" s="1"/>
  <c r="S14" i="4"/>
  <c r="O14" i="4"/>
  <c r="U14" i="4" s="1"/>
  <c r="S86" i="4"/>
  <c r="C98" i="2"/>
  <c r="O194" i="4" l="1"/>
  <c r="O196" i="4" s="1"/>
  <c r="S335" i="1" s="1"/>
  <c r="U86" i="4"/>
  <c r="W194" i="4"/>
  <c r="U69" i="4"/>
  <c r="U112" i="4"/>
  <c r="U37" i="4"/>
  <c r="U97" i="4"/>
  <c r="U68" i="4"/>
  <c r="U13" i="4"/>
  <c r="C117" i="2"/>
  <c r="S202" i="4" l="1"/>
  <c r="S57" i="1" l="1"/>
  <c r="U57" i="1" s="1"/>
  <c r="E156" i="1"/>
  <c r="T232" i="1"/>
  <c r="U47" i="1" l="1"/>
  <c r="T175" i="1"/>
  <c r="S285" i="1" l="1"/>
  <c r="T58" i="1" l="1"/>
  <c r="Q293" i="1" l="1"/>
  <c r="T167" i="1" l="1"/>
  <c r="E248" i="1"/>
  <c r="Q248" i="1"/>
  <c r="T127" i="1"/>
  <c r="P286" i="1" l="1"/>
  <c r="Q211" i="1" l="1"/>
  <c r="U308" i="1" l="1"/>
  <c r="T256" i="1"/>
  <c r="T4" i="1" l="1"/>
  <c r="T5" i="1"/>
  <c r="T125" i="1"/>
  <c r="T31" i="1"/>
  <c r="T8" i="1"/>
  <c r="T11" i="1"/>
  <c r="T12" i="1"/>
  <c r="T13" i="1"/>
  <c r="T15" i="1"/>
  <c r="T17" i="1"/>
  <c r="T18" i="1"/>
  <c r="T19" i="1"/>
  <c r="T20" i="1"/>
  <c r="T21" i="1"/>
  <c r="T27" i="1"/>
  <c r="T29" i="1"/>
  <c r="T30" i="1"/>
  <c r="T32" i="1"/>
  <c r="T33" i="1"/>
  <c r="T34" i="1"/>
  <c r="T36" i="1"/>
  <c r="T37" i="1"/>
  <c r="T38" i="1"/>
  <c r="T42" i="1"/>
  <c r="T43" i="1"/>
  <c r="T44" i="1"/>
  <c r="T45" i="1"/>
  <c r="T47" i="1"/>
  <c r="T48" i="1"/>
  <c r="T49" i="1"/>
  <c r="T50" i="1"/>
  <c r="T51" i="1"/>
  <c r="T52" i="1"/>
  <c r="T54" i="1"/>
  <c r="T55" i="1"/>
  <c r="T56" i="1"/>
  <c r="T59" i="1"/>
  <c r="T61" i="1"/>
  <c r="T62" i="1"/>
  <c r="T63" i="1"/>
  <c r="T64" i="1"/>
  <c r="T65" i="1"/>
  <c r="T66" i="1"/>
  <c r="T68" i="1"/>
  <c r="T69" i="1"/>
  <c r="T72" i="1"/>
  <c r="T75" i="1"/>
  <c r="T76" i="1"/>
  <c r="T77" i="1"/>
  <c r="T120" i="1"/>
  <c r="T213" i="1"/>
  <c r="T80" i="1"/>
  <c r="T81" i="1"/>
  <c r="T84" i="1"/>
  <c r="T87" i="1"/>
  <c r="T88" i="1"/>
  <c r="T90" i="1"/>
  <c r="T92" i="1"/>
  <c r="T96" i="1"/>
  <c r="T98" i="1"/>
  <c r="T99" i="1"/>
  <c r="T101" i="1"/>
  <c r="T102" i="1"/>
  <c r="T105" i="1"/>
  <c r="T106" i="1"/>
  <c r="T108" i="1"/>
  <c r="T109" i="1"/>
  <c r="T110" i="1"/>
  <c r="T112" i="1"/>
  <c r="T113" i="1"/>
  <c r="T115" i="1"/>
  <c r="T116" i="1"/>
  <c r="T117" i="1"/>
  <c r="T122" i="1"/>
  <c r="T6" i="1"/>
  <c r="T157" i="1"/>
  <c r="T128" i="1"/>
  <c r="T132" i="1"/>
  <c r="T133" i="1"/>
  <c r="T134" i="1"/>
  <c r="T135" i="1"/>
  <c r="T136" i="1"/>
  <c r="T138" i="1"/>
  <c r="T139" i="1"/>
  <c r="T140" i="1"/>
  <c r="T141" i="1"/>
  <c r="T142" i="1"/>
  <c r="T143" i="1"/>
  <c r="T146" i="1"/>
  <c r="T147" i="1"/>
  <c r="T148" i="1"/>
  <c r="T149" i="1"/>
  <c r="T150" i="1"/>
  <c r="T153" i="1"/>
  <c r="T155" i="1"/>
  <c r="T156" i="1"/>
  <c r="T158" i="1"/>
  <c r="T162" i="1"/>
  <c r="T165" i="1"/>
  <c r="T169" i="1"/>
  <c r="T171" i="1"/>
  <c r="T172" i="1"/>
  <c r="T173" i="1"/>
  <c r="T174" i="1"/>
  <c r="T176" i="1"/>
  <c r="T177" i="1"/>
  <c r="T178" i="1"/>
  <c r="T180" i="1"/>
  <c r="T183" i="1"/>
  <c r="T184" i="1"/>
  <c r="T185" i="1"/>
  <c r="T188" i="1"/>
  <c r="T189" i="1"/>
  <c r="T193" i="1"/>
  <c r="T194" i="1"/>
  <c r="T195" i="1"/>
  <c r="T196" i="1"/>
  <c r="T200" i="1"/>
  <c r="T201" i="1"/>
  <c r="T205" i="1"/>
  <c r="T206" i="1"/>
  <c r="T207" i="1"/>
  <c r="T209" i="1"/>
  <c r="T210" i="1"/>
  <c r="T211" i="1"/>
  <c r="T215" i="1"/>
  <c r="T216" i="1"/>
  <c r="T218" i="1"/>
  <c r="T220" i="1"/>
  <c r="T221" i="1"/>
  <c r="T224" i="1"/>
  <c r="T225" i="1"/>
  <c r="T226" i="1"/>
  <c r="T233" i="1"/>
  <c r="T234" i="1"/>
  <c r="T235" i="1"/>
  <c r="T236" i="1"/>
  <c r="T237" i="1"/>
  <c r="T238" i="1"/>
  <c r="T239" i="1"/>
  <c r="T240" i="1"/>
  <c r="T242" i="1"/>
  <c r="T244" i="1"/>
  <c r="T245" i="1"/>
  <c r="T246" i="1"/>
  <c r="T250" i="1"/>
  <c r="T251" i="1"/>
  <c r="T252" i="1"/>
  <c r="T253" i="1"/>
  <c r="T254" i="1"/>
  <c r="T255" i="1"/>
  <c r="T258" i="1"/>
  <c r="T260" i="1"/>
  <c r="T263" i="1"/>
  <c r="T264" i="1"/>
  <c r="T266" i="1"/>
  <c r="T267" i="1"/>
  <c r="T268" i="1"/>
  <c r="T269" i="1"/>
  <c r="T270" i="1"/>
  <c r="T271" i="1"/>
  <c r="T60" i="1"/>
  <c r="T272" i="1"/>
  <c r="T274" i="1"/>
  <c r="T275" i="1"/>
  <c r="T276" i="1"/>
  <c r="T278" i="1"/>
  <c r="T279" i="1"/>
  <c r="T280" i="1"/>
  <c r="T281" i="1"/>
  <c r="T284" i="1"/>
  <c r="T287" i="1"/>
  <c r="T288" i="1"/>
  <c r="T289" i="1"/>
  <c r="T290" i="1"/>
  <c r="T291" i="1"/>
  <c r="T292" i="1"/>
  <c r="T293" i="1"/>
  <c r="T294" i="1"/>
  <c r="T296" i="1"/>
  <c r="T297" i="1"/>
  <c r="T298" i="1"/>
  <c r="T299" i="1"/>
  <c r="T301" i="1"/>
  <c r="T305" i="1"/>
  <c r="T306" i="1"/>
  <c r="T307" i="1"/>
  <c r="T310" i="1"/>
  <c r="T311" i="1"/>
  <c r="T312" i="1"/>
  <c r="T313" i="1"/>
  <c r="T314" i="1"/>
  <c r="T315" i="1"/>
  <c r="T317" i="1"/>
  <c r="T318" i="1"/>
  <c r="T319" i="1"/>
  <c r="T320" i="1"/>
  <c r="T322" i="1"/>
  <c r="T192" i="1"/>
  <c r="T228" i="1"/>
  <c r="T9" i="1"/>
  <c r="T73" i="1"/>
  <c r="T277" i="1"/>
  <c r="T179" i="1"/>
  <c r="U265" i="1"/>
  <c r="T265" i="1" s="1"/>
  <c r="U321" i="1"/>
  <c r="T321" i="1" s="1"/>
  <c r="T14" i="1"/>
  <c r="T91" i="1"/>
  <c r="T16" i="1"/>
  <c r="T22" i="1"/>
  <c r="T23" i="1"/>
  <c r="T26" i="1"/>
  <c r="T28" i="1"/>
  <c r="T39" i="1"/>
  <c r="T41" i="1"/>
  <c r="T46" i="1"/>
  <c r="T53" i="1"/>
  <c r="T57" i="1"/>
  <c r="T67" i="1"/>
  <c r="T71" i="1"/>
  <c r="T78" i="1"/>
  <c r="T82" i="1"/>
  <c r="T83" i="1"/>
  <c r="T85" i="1"/>
  <c r="T89" i="1"/>
  <c r="T93" i="1"/>
  <c r="T94" i="1"/>
  <c r="T95" i="1"/>
  <c r="T97" i="1"/>
  <c r="T100" i="1"/>
  <c r="T103" i="1"/>
  <c r="T104" i="1"/>
  <c r="T107" i="1"/>
  <c r="T111" i="1"/>
  <c r="U114" i="1"/>
  <c r="T114" i="1" s="1"/>
  <c r="T119" i="1"/>
  <c r="T121" i="1"/>
  <c r="T123" i="1"/>
  <c r="T124" i="1"/>
  <c r="T35" i="1"/>
  <c r="U126" i="1"/>
  <c r="T126" i="1" s="1"/>
  <c r="T130" i="1"/>
  <c r="T137" i="1"/>
  <c r="T151" i="1"/>
  <c r="T152" i="1"/>
  <c r="T154" i="1"/>
  <c r="T159" i="1"/>
  <c r="T160" i="1"/>
  <c r="T161" i="1"/>
  <c r="T163" i="1"/>
  <c r="T164" i="1"/>
  <c r="T166" i="1"/>
  <c r="T168" i="1"/>
  <c r="T170" i="1"/>
  <c r="T182" i="1"/>
  <c r="T186" i="1"/>
  <c r="U187" i="1"/>
  <c r="T187" i="1" s="1"/>
  <c r="T190" i="1"/>
  <c r="T191" i="1"/>
  <c r="T197" i="1"/>
  <c r="T198" i="1"/>
  <c r="T202" i="1"/>
  <c r="U203" i="1"/>
  <c r="T203" i="1" s="1"/>
  <c r="T204" i="1"/>
  <c r="T212" i="1"/>
  <c r="T214" i="1"/>
  <c r="T217" i="1"/>
  <c r="T219" i="1"/>
  <c r="T222" i="1"/>
  <c r="U223" i="1"/>
  <c r="T223" i="1" s="1"/>
  <c r="T227" i="1"/>
  <c r="T229" i="1"/>
  <c r="T231" i="1"/>
  <c r="T230" i="1"/>
  <c r="T247" i="1"/>
  <c r="T248" i="1"/>
  <c r="T249" i="1"/>
  <c r="T257" i="1"/>
  <c r="T259" i="1"/>
  <c r="T261" i="1"/>
  <c r="U262" i="1"/>
  <c r="T262" i="1" s="1"/>
  <c r="T273" i="1"/>
  <c r="T282" i="1"/>
  <c r="U285" i="1"/>
  <c r="T285" i="1" s="1"/>
  <c r="T286" i="1"/>
  <c r="T300" i="1"/>
  <c r="T302" i="1"/>
  <c r="T303" i="1"/>
  <c r="T304" i="1"/>
  <c r="T308" i="1"/>
  <c r="T309" i="1"/>
  <c r="T316" i="1"/>
  <c r="U74" i="1"/>
  <c r="T144" i="1"/>
  <c r="T10" i="1"/>
  <c r="U7" i="1"/>
  <c r="T7" i="1" l="1"/>
  <c r="T118" i="1"/>
  <c r="P144" i="1"/>
  <c r="W144" i="1" s="1"/>
  <c r="P277" i="1"/>
  <c r="W277" i="1" s="1"/>
  <c r="C285" i="1" l="1"/>
  <c r="P285" i="1" s="1"/>
  <c r="W285" i="1" s="1"/>
  <c r="Q3" i="1"/>
  <c r="P3" i="1"/>
  <c r="X4" i="1"/>
  <c r="X5" i="1"/>
  <c r="X125" i="1"/>
  <c r="X31" i="1"/>
  <c r="X7" i="1"/>
  <c r="X8" i="1"/>
  <c r="X10" i="1"/>
  <c r="X11" i="1"/>
  <c r="X14" i="1"/>
  <c r="X15" i="1"/>
  <c r="X16" i="1"/>
  <c r="X17" i="1"/>
  <c r="X18" i="1"/>
  <c r="X19" i="1"/>
  <c r="X20" i="1"/>
  <c r="X21" i="1"/>
  <c r="X22" i="1"/>
  <c r="X24" i="1"/>
  <c r="X25" i="1"/>
  <c r="X26" i="1"/>
  <c r="X27" i="1"/>
  <c r="X28" i="1"/>
  <c r="X29" i="1"/>
  <c r="X32" i="1"/>
  <c r="X36" i="1"/>
  <c r="X37" i="1"/>
  <c r="X38" i="1"/>
  <c r="X39" i="1"/>
  <c r="X40" i="1"/>
  <c r="X41" i="1"/>
  <c r="X43" i="1"/>
  <c r="X44" i="1"/>
  <c r="X47" i="1"/>
  <c r="X50" i="1"/>
  <c r="X52" i="1"/>
  <c r="X54" i="1"/>
  <c r="X55" i="1"/>
  <c r="X56" i="1"/>
  <c r="X58" i="1"/>
  <c r="X59" i="1"/>
  <c r="X64" i="1"/>
  <c r="X65" i="1"/>
  <c r="X66" i="1"/>
  <c r="X69" i="1"/>
  <c r="X70" i="1"/>
  <c r="X71" i="1"/>
  <c r="X72" i="1"/>
  <c r="X77" i="1"/>
  <c r="X120" i="1"/>
  <c r="X213" i="1"/>
  <c r="X80" i="1"/>
  <c r="X84" i="1"/>
  <c r="X86" i="1"/>
  <c r="X87" i="1"/>
  <c r="X89" i="1"/>
  <c r="X90" i="1"/>
  <c r="X92" i="1"/>
  <c r="X93" i="1"/>
  <c r="X95" i="1"/>
  <c r="X96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2" i="1"/>
  <c r="X113" i="1"/>
  <c r="X114" i="1"/>
  <c r="X116" i="1"/>
  <c r="X117" i="1"/>
  <c r="X118" i="1"/>
  <c r="X119" i="1"/>
  <c r="X121" i="1"/>
  <c r="X122" i="1"/>
  <c r="X126" i="1"/>
  <c r="X15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2" i="1"/>
  <c r="X143" i="1"/>
  <c r="X145" i="1"/>
  <c r="X146" i="1"/>
  <c r="X148" i="1"/>
  <c r="X150" i="1"/>
  <c r="X152" i="1"/>
  <c r="X153" i="1"/>
  <c r="X155" i="1"/>
  <c r="X158" i="1"/>
  <c r="X159" i="1"/>
  <c r="X160" i="1"/>
  <c r="X161" i="1"/>
  <c r="X162" i="1"/>
  <c r="X164" i="1"/>
  <c r="X165" i="1"/>
  <c r="X168" i="1"/>
  <c r="X169" i="1"/>
  <c r="X170" i="1"/>
  <c r="X171" i="1"/>
  <c r="X172" i="1"/>
  <c r="X176" i="1"/>
  <c r="X177" i="1"/>
  <c r="X180" i="1"/>
  <c r="X181" i="1"/>
  <c r="X183" i="1"/>
  <c r="X184" i="1"/>
  <c r="X185" i="1"/>
  <c r="X187" i="1"/>
  <c r="X188" i="1"/>
  <c r="X189" i="1"/>
  <c r="X190" i="1"/>
  <c r="X191" i="1"/>
  <c r="X194" i="1"/>
  <c r="X196" i="1"/>
  <c r="X198" i="1"/>
  <c r="X199" i="1"/>
  <c r="X200" i="1"/>
  <c r="X201" i="1"/>
  <c r="X203" i="1"/>
  <c r="X205" i="1"/>
  <c r="X206" i="1"/>
  <c r="X207" i="1"/>
  <c r="X209" i="1"/>
  <c r="X210" i="1"/>
  <c r="X215" i="1"/>
  <c r="X216" i="1"/>
  <c r="X217" i="1"/>
  <c r="X218" i="1"/>
  <c r="X219" i="1"/>
  <c r="X220" i="1"/>
  <c r="X221" i="1"/>
  <c r="X223" i="1"/>
  <c r="X224" i="1"/>
  <c r="X226" i="1"/>
  <c r="X227" i="1"/>
  <c r="X229" i="1"/>
  <c r="X230" i="1"/>
  <c r="X232" i="1"/>
  <c r="X233" i="1"/>
  <c r="X234" i="1"/>
  <c r="X235" i="1"/>
  <c r="X236" i="1"/>
  <c r="X237" i="1"/>
  <c r="X238" i="1"/>
  <c r="X239" i="1"/>
  <c r="X240" i="1"/>
  <c r="X242" i="1"/>
  <c r="X243" i="1"/>
  <c r="X244" i="1"/>
  <c r="X245" i="1"/>
  <c r="X246" i="1"/>
  <c r="X249" i="1"/>
  <c r="X250" i="1"/>
  <c r="X251" i="1"/>
  <c r="X255" i="1"/>
  <c r="X256" i="1"/>
  <c r="X257" i="1"/>
  <c r="X258" i="1"/>
  <c r="X259" i="1"/>
  <c r="X261" i="1"/>
  <c r="X262" i="1"/>
  <c r="X265" i="1"/>
  <c r="X267" i="1"/>
  <c r="X268" i="1"/>
  <c r="X270" i="1"/>
  <c r="X271" i="1"/>
  <c r="X60" i="1"/>
  <c r="X272" i="1"/>
  <c r="X273" i="1"/>
  <c r="X274" i="1"/>
  <c r="X275" i="1"/>
  <c r="X276" i="1"/>
  <c r="X278" i="1"/>
  <c r="X279" i="1"/>
  <c r="X280" i="1"/>
  <c r="X281" i="1"/>
  <c r="X283" i="1"/>
  <c r="X285" i="1"/>
  <c r="X287" i="1"/>
  <c r="X288" i="1"/>
  <c r="X289" i="1"/>
  <c r="X290" i="1"/>
  <c r="X291" i="1"/>
  <c r="X293" i="1"/>
  <c r="X294" i="1"/>
  <c r="X296" i="1"/>
  <c r="X297" i="1"/>
  <c r="X298" i="1"/>
  <c r="X299" i="1"/>
  <c r="X301" i="1"/>
  <c r="X304" i="1"/>
  <c r="X305" i="1"/>
  <c r="X306" i="1"/>
  <c r="X307" i="1"/>
  <c r="X308" i="1"/>
  <c r="X310" i="1"/>
  <c r="X311" i="1"/>
  <c r="X313" i="1"/>
  <c r="X314" i="1"/>
  <c r="X315" i="1"/>
  <c r="X316" i="1"/>
  <c r="X317" i="1"/>
  <c r="X319" i="1"/>
  <c r="X320" i="1"/>
  <c r="X321" i="1"/>
  <c r="X322" i="1"/>
  <c r="X192" i="1"/>
  <c r="X228" i="1"/>
  <c r="X9" i="1"/>
  <c r="X73" i="1"/>
  <c r="X74" i="1"/>
  <c r="P4" i="1"/>
  <c r="W4" i="1" s="1"/>
  <c r="P5" i="1"/>
  <c r="W5" i="1" s="1"/>
  <c r="P125" i="1"/>
  <c r="W125" i="1" s="1"/>
  <c r="P31" i="1"/>
  <c r="W31" i="1" s="1"/>
  <c r="P7" i="1"/>
  <c r="W7" i="1" s="1"/>
  <c r="P8" i="1"/>
  <c r="W8" i="1" s="1"/>
  <c r="P10" i="1"/>
  <c r="W10" i="1" s="1"/>
  <c r="P11" i="1"/>
  <c r="W11" i="1" s="1"/>
  <c r="P12" i="1"/>
  <c r="P13" i="1"/>
  <c r="P14" i="1"/>
  <c r="W14" i="1" s="1"/>
  <c r="P91" i="1"/>
  <c r="P15" i="1"/>
  <c r="W15" i="1" s="1"/>
  <c r="P16" i="1"/>
  <c r="W16" i="1" s="1"/>
  <c r="P17" i="1"/>
  <c r="W17" i="1" s="1"/>
  <c r="P18" i="1"/>
  <c r="W18" i="1" s="1"/>
  <c r="P19" i="1"/>
  <c r="W19" i="1" s="1"/>
  <c r="P20" i="1"/>
  <c r="W20" i="1" s="1"/>
  <c r="P21" i="1"/>
  <c r="W21" i="1" s="1"/>
  <c r="P22" i="1"/>
  <c r="W22" i="1" s="1"/>
  <c r="P23" i="1"/>
  <c r="P24" i="1"/>
  <c r="W24" i="1" s="1"/>
  <c r="W25" i="1"/>
  <c r="P26" i="1"/>
  <c r="W26" i="1" s="1"/>
  <c r="P27" i="1"/>
  <c r="W27" i="1" s="1"/>
  <c r="P28" i="1"/>
  <c r="W28" i="1" s="1"/>
  <c r="P29" i="1"/>
  <c r="W29" i="1" s="1"/>
  <c r="P30" i="1"/>
  <c r="P32" i="1"/>
  <c r="W32" i="1" s="1"/>
  <c r="P33" i="1"/>
  <c r="P34" i="1"/>
  <c r="P36" i="1"/>
  <c r="W36" i="1" s="1"/>
  <c r="P37" i="1"/>
  <c r="W37" i="1" s="1"/>
  <c r="P38" i="1"/>
  <c r="W38" i="1" s="1"/>
  <c r="P39" i="1"/>
  <c r="W39" i="1" s="1"/>
  <c r="P40" i="1"/>
  <c r="W40" i="1" s="1"/>
  <c r="P41" i="1"/>
  <c r="W41" i="1" s="1"/>
  <c r="P42" i="1"/>
  <c r="P43" i="1"/>
  <c r="W43" i="1" s="1"/>
  <c r="P44" i="1"/>
  <c r="W44" i="1" s="1"/>
  <c r="P45" i="1"/>
  <c r="P46" i="1"/>
  <c r="P47" i="1"/>
  <c r="W47" i="1" s="1"/>
  <c r="P48" i="1"/>
  <c r="P49" i="1"/>
  <c r="P50" i="1"/>
  <c r="W50" i="1" s="1"/>
  <c r="P51" i="1"/>
  <c r="P52" i="1"/>
  <c r="W52" i="1" s="1"/>
  <c r="P53" i="1"/>
  <c r="P54" i="1"/>
  <c r="W54" i="1" s="1"/>
  <c r="P55" i="1"/>
  <c r="W55" i="1" s="1"/>
  <c r="P56" i="1"/>
  <c r="W56" i="1" s="1"/>
  <c r="P57" i="1"/>
  <c r="P58" i="1"/>
  <c r="W58" i="1" s="1"/>
  <c r="P59" i="1"/>
  <c r="W59" i="1" s="1"/>
  <c r="P61" i="1"/>
  <c r="P62" i="1"/>
  <c r="P63" i="1"/>
  <c r="P64" i="1"/>
  <c r="W64" i="1" s="1"/>
  <c r="P65" i="1"/>
  <c r="W65" i="1" s="1"/>
  <c r="P66" i="1"/>
  <c r="W66" i="1" s="1"/>
  <c r="P67" i="1"/>
  <c r="P68" i="1"/>
  <c r="P69" i="1"/>
  <c r="W69" i="1" s="1"/>
  <c r="P70" i="1"/>
  <c r="W70" i="1" s="1"/>
  <c r="P71" i="1"/>
  <c r="W71" i="1" s="1"/>
  <c r="P72" i="1"/>
  <c r="W72" i="1" s="1"/>
  <c r="P75" i="1"/>
  <c r="P76" i="1"/>
  <c r="P77" i="1"/>
  <c r="W77" i="1" s="1"/>
  <c r="P78" i="1"/>
  <c r="P120" i="1"/>
  <c r="W120" i="1" s="1"/>
  <c r="P79" i="1"/>
  <c r="P213" i="1"/>
  <c r="W213" i="1" s="1"/>
  <c r="P80" i="1"/>
  <c r="W80" i="1" s="1"/>
  <c r="P81" i="1"/>
  <c r="P82" i="1"/>
  <c r="P83" i="1"/>
  <c r="P84" i="1"/>
  <c r="W84" i="1" s="1"/>
  <c r="P85" i="1"/>
  <c r="P86" i="1"/>
  <c r="P87" i="1"/>
  <c r="W87" i="1" s="1"/>
  <c r="P88" i="1"/>
  <c r="P89" i="1"/>
  <c r="W89" i="1" s="1"/>
  <c r="P90" i="1"/>
  <c r="W90" i="1" s="1"/>
  <c r="P92" i="1"/>
  <c r="W92" i="1" s="1"/>
  <c r="P93" i="1"/>
  <c r="P94" i="1"/>
  <c r="P95" i="1"/>
  <c r="P96" i="1"/>
  <c r="W96" i="1" s="1"/>
  <c r="P97" i="1"/>
  <c r="P98" i="1"/>
  <c r="P99" i="1"/>
  <c r="W99" i="1" s="1"/>
  <c r="P100" i="1"/>
  <c r="W100" i="1" s="1"/>
  <c r="P101" i="1"/>
  <c r="W101" i="1" s="1"/>
  <c r="P102" i="1"/>
  <c r="W102" i="1" s="1"/>
  <c r="P103" i="1"/>
  <c r="W103" i="1" s="1"/>
  <c r="P104" i="1"/>
  <c r="W104" i="1" s="1"/>
  <c r="P105" i="1"/>
  <c r="W105" i="1" s="1"/>
  <c r="P106" i="1"/>
  <c r="W106" i="1" s="1"/>
  <c r="P107" i="1"/>
  <c r="W107" i="1" s="1"/>
  <c r="P108" i="1"/>
  <c r="W108" i="1" s="1"/>
  <c r="P109" i="1"/>
  <c r="W109" i="1" s="1"/>
  <c r="P110" i="1"/>
  <c r="W110" i="1" s="1"/>
  <c r="P111" i="1"/>
  <c r="P112" i="1"/>
  <c r="W112" i="1" s="1"/>
  <c r="P113" i="1"/>
  <c r="W113" i="1" s="1"/>
  <c r="P114" i="1"/>
  <c r="W114" i="1" s="1"/>
  <c r="P115" i="1"/>
  <c r="P116" i="1"/>
  <c r="W116" i="1" s="1"/>
  <c r="P117" i="1"/>
  <c r="W117" i="1" s="1"/>
  <c r="P118" i="1"/>
  <c r="P119" i="1"/>
  <c r="W119" i="1" s="1"/>
  <c r="P121" i="1"/>
  <c r="W121" i="1" s="1"/>
  <c r="P122" i="1"/>
  <c r="W122" i="1" s="1"/>
  <c r="P123" i="1"/>
  <c r="P124" i="1"/>
  <c r="P6" i="1"/>
  <c r="P35" i="1"/>
  <c r="P126" i="1"/>
  <c r="W126" i="1" s="1"/>
  <c r="P127" i="1"/>
  <c r="P157" i="1"/>
  <c r="W157" i="1" s="1"/>
  <c r="P128" i="1"/>
  <c r="W128" i="1" s="1"/>
  <c r="P129" i="1"/>
  <c r="W129" i="1" s="1"/>
  <c r="P130" i="1"/>
  <c r="W130" i="1" s="1"/>
  <c r="P131" i="1"/>
  <c r="W131" i="1" s="1"/>
  <c r="P132" i="1"/>
  <c r="W132" i="1" s="1"/>
  <c r="P133" i="1"/>
  <c r="W133" i="1" s="1"/>
  <c r="P134" i="1"/>
  <c r="W134" i="1" s="1"/>
  <c r="P135" i="1"/>
  <c r="W135" i="1" s="1"/>
  <c r="P136" i="1"/>
  <c r="W136" i="1" s="1"/>
  <c r="P137" i="1"/>
  <c r="W137" i="1" s="1"/>
  <c r="P138" i="1"/>
  <c r="W138" i="1" s="1"/>
  <c r="P139" i="1"/>
  <c r="W139" i="1" s="1"/>
  <c r="P140" i="1"/>
  <c r="W140" i="1" s="1"/>
  <c r="P141" i="1"/>
  <c r="P142" i="1"/>
  <c r="W142" i="1" s="1"/>
  <c r="P143" i="1"/>
  <c r="W143" i="1" s="1"/>
  <c r="P145" i="1"/>
  <c r="W145" i="1" s="1"/>
  <c r="P146" i="1"/>
  <c r="P147" i="1"/>
  <c r="P148" i="1"/>
  <c r="W148" i="1" s="1"/>
  <c r="P149" i="1"/>
  <c r="P150" i="1"/>
  <c r="W150" i="1" s="1"/>
  <c r="P151" i="1"/>
  <c r="P152" i="1"/>
  <c r="W152" i="1" s="1"/>
  <c r="P153" i="1"/>
  <c r="W153" i="1" s="1"/>
  <c r="P154" i="1"/>
  <c r="P155" i="1"/>
  <c r="W155" i="1" s="1"/>
  <c r="P156" i="1"/>
  <c r="P158" i="1"/>
  <c r="W158" i="1" s="1"/>
  <c r="P159" i="1"/>
  <c r="W159" i="1" s="1"/>
  <c r="P160" i="1"/>
  <c r="W160" i="1" s="1"/>
  <c r="P161" i="1"/>
  <c r="W161" i="1" s="1"/>
  <c r="P162" i="1"/>
  <c r="W162" i="1" s="1"/>
  <c r="P163" i="1"/>
  <c r="P164" i="1"/>
  <c r="W164" i="1" s="1"/>
  <c r="P165" i="1"/>
  <c r="W165" i="1" s="1"/>
  <c r="P166" i="1"/>
  <c r="P167" i="1"/>
  <c r="P168" i="1"/>
  <c r="W168" i="1" s="1"/>
  <c r="P169" i="1"/>
  <c r="W169" i="1" s="1"/>
  <c r="P170" i="1"/>
  <c r="W170" i="1" s="1"/>
  <c r="P171" i="1"/>
  <c r="W171" i="1" s="1"/>
  <c r="P172" i="1"/>
  <c r="W172" i="1" s="1"/>
  <c r="P173" i="1"/>
  <c r="P174" i="1"/>
  <c r="P175" i="1"/>
  <c r="P176" i="1"/>
  <c r="W176" i="1" s="1"/>
  <c r="P177" i="1"/>
  <c r="W177" i="1" s="1"/>
  <c r="P178" i="1"/>
  <c r="P179" i="1"/>
  <c r="P180" i="1"/>
  <c r="W180" i="1" s="1"/>
  <c r="P181" i="1"/>
  <c r="W181" i="1" s="1"/>
  <c r="P182" i="1"/>
  <c r="P183" i="1"/>
  <c r="W183" i="1" s="1"/>
  <c r="P184" i="1"/>
  <c r="W184" i="1" s="1"/>
  <c r="P185" i="1"/>
  <c r="W185" i="1" s="1"/>
  <c r="P186" i="1"/>
  <c r="P187" i="1"/>
  <c r="W187" i="1" s="1"/>
  <c r="P188" i="1"/>
  <c r="W188" i="1" s="1"/>
  <c r="P189" i="1"/>
  <c r="W189" i="1" s="1"/>
  <c r="P190" i="1"/>
  <c r="W190" i="1" s="1"/>
  <c r="P191" i="1"/>
  <c r="W191" i="1" s="1"/>
  <c r="P193" i="1"/>
  <c r="P194" i="1"/>
  <c r="W194" i="1" s="1"/>
  <c r="P195" i="1"/>
  <c r="P196" i="1"/>
  <c r="W196" i="1" s="1"/>
  <c r="P197" i="1"/>
  <c r="P198" i="1"/>
  <c r="W198" i="1" s="1"/>
  <c r="P199" i="1"/>
  <c r="W199" i="1" s="1"/>
  <c r="P200" i="1"/>
  <c r="W200" i="1" s="1"/>
  <c r="P201" i="1"/>
  <c r="W201" i="1" s="1"/>
  <c r="P202" i="1"/>
  <c r="P203" i="1"/>
  <c r="W203" i="1" s="1"/>
  <c r="P204" i="1"/>
  <c r="P205" i="1"/>
  <c r="W205" i="1" s="1"/>
  <c r="P206" i="1"/>
  <c r="W206" i="1" s="1"/>
  <c r="P207" i="1"/>
  <c r="W207" i="1" s="1"/>
  <c r="P208" i="1"/>
  <c r="P209" i="1"/>
  <c r="W209" i="1" s="1"/>
  <c r="P210" i="1"/>
  <c r="W210" i="1" s="1"/>
  <c r="P211" i="1"/>
  <c r="P212" i="1"/>
  <c r="P214" i="1"/>
  <c r="P215" i="1"/>
  <c r="W215" i="1" s="1"/>
  <c r="P216" i="1"/>
  <c r="W216" i="1" s="1"/>
  <c r="P217" i="1"/>
  <c r="W217" i="1" s="1"/>
  <c r="P218" i="1"/>
  <c r="W218" i="1" s="1"/>
  <c r="W219" i="1"/>
  <c r="P220" i="1"/>
  <c r="W220" i="1" s="1"/>
  <c r="P221" i="1"/>
  <c r="W221" i="1" s="1"/>
  <c r="P222" i="1"/>
  <c r="P223" i="1"/>
  <c r="W223" i="1" s="1"/>
  <c r="P224" i="1"/>
  <c r="W224" i="1" s="1"/>
  <c r="P225" i="1"/>
  <c r="P226" i="1"/>
  <c r="W226" i="1" s="1"/>
  <c r="P227" i="1"/>
  <c r="W227" i="1" s="1"/>
  <c r="P229" i="1"/>
  <c r="W229" i="1" s="1"/>
  <c r="P231" i="1"/>
  <c r="P230" i="1"/>
  <c r="W230" i="1" s="1"/>
  <c r="P232" i="1"/>
  <c r="W232" i="1" s="1"/>
  <c r="P233" i="1"/>
  <c r="W233" i="1" s="1"/>
  <c r="P234" i="1"/>
  <c r="W234" i="1" s="1"/>
  <c r="P235" i="1"/>
  <c r="W235" i="1" s="1"/>
  <c r="P236" i="1"/>
  <c r="W236" i="1" s="1"/>
  <c r="P237" i="1"/>
  <c r="W237" i="1" s="1"/>
  <c r="P238" i="1"/>
  <c r="W238" i="1" s="1"/>
  <c r="P239" i="1"/>
  <c r="W239" i="1" s="1"/>
  <c r="P240" i="1"/>
  <c r="W240" i="1" s="1"/>
  <c r="P241" i="1"/>
  <c r="P242" i="1"/>
  <c r="W242" i="1" s="1"/>
  <c r="P243" i="1"/>
  <c r="W243" i="1" s="1"/>
  <c r="P244" i="1"/>
  <c r="W244" i="1" s="1"/>
  <c r="P245" i="1"/>
  <c r="W245" i="1" s="1"/>
  <c r="P246" i="1"/>
  <c r="W246" i="1" s="1"/>
  <c r="P247" i="1"/>
  <c r="P248" i="1"/>
  <c r="P249" i="1"/>
  <c r="W249" i="1" s="1"/>
  <c r="P250" i="1"/>
  <c r="W250" i="1" s="1"/>
  <c r="P251" i="1"/>
  <c r="W251" i="1" s="1"/>
  <c r="P252" i="1"/>
  <c r="P253" i="1"/>
  <c r="P254" i="1"/>
  <c r="P255" i="1"/>
  <c r="W255" i="1" s="1"/>
  <c r="P256" i="1"/>
  <c r="P257" i="1"/>
  <c r="W257" i="1" s="1"/>
  <c r="P258" i="1"/>
  <c r="W258" i="1" s="1"/>
  <c r="P259" i="1"/>
  <c r="P260" i="1"/>
  <c r="P261" i="1"/>
  <c r="W261" i="1" s="1"/>
  <c r="P262" i="1"/>
  <c r="W262" i="1" s="1"/>
  <c r="P263" i="1"/>
  <c r="P264" i="1"/>
  <c r="P265" i="1"/>
  <c r="W265" i="1" s="1"/>
  <c r="P266" i="1"/>
  <c r="P267" i="1"/>
  <c r="W267" i="1" s="1"/>
  <c r="P268" i="1"/>
  <c r="W268" i="1" s="1"/>
  <c r="P269" i="1"/>
  <c r="P270" i="1"/>
  <c r="W270" i="1" s="1"/>
  <c r="P271" i="1"/>
  <c r="W271" i="1" s="1"/>
  <c r="P60" i="1"/>
  <c r="W60" i="1" s="1"/>
  <c r="P272" i="1"/>
  <c r="W272" i="1" s="1"/>
  <c r="P273" i="1"/>
  <c r="W273" i="1" s="1"/>
  <c r="P274" i="1"/>
  <c r="W274" i="1" s="1"/>
  <c r="P275" i="1"/>
  <c r="W275" i="1" s="1"/>
  <c r="P276" i="1"/>
  <c r="W276" i="1" s="1"/>
  <c r="P278" i="1"/>
  <c r="W278" i="1" s="1"/>
  <c r="P279" i="1"/>
  <c r="W279" i="1" s="1"/>
  <c r="P280" i="1"/>
  <c r="W280" i="1" s="1"/>
  <c r="P281" i="1"/>
  <c r="W281" i="1" s="1"/>
  <c r="P282" i="1"/>
  <c r="P283" i="1"/>
  <c r="P284" i="1"/>
  <c r="P287" i="1"/>
  <c r="P288" i="1"/>
  <c r="W288" i="1" s="1"/>
  <c r="P289" i="1"/>
  <c r="W289" i="1" s="1"/>
  <c r="P290" i="1"/>
  <c r="W290" i="1" s="1"/>
  <c r="P291" i="1"/>
  <c r="W291" i="1" s="1"/>
  <c r="P292" i="1"/>
  <c r="P293" i="1"/>
  <c r="W293" i="1" s="1"/>
  <c r="P294" i="1"/>
  <c r="W294" i="1" s="1"/>
  <c r="P295" i="1"/>
  <c r="P296" i="1"/>
  <c r="W296" i="1" s="1"/>
  <c r="W297" i="1"/>
  <c r="P298" i="1"/>
  <c r="W298" i="1" s="1"/>
  <c r="P299" i="1"/>
  <c r="W299" i="1" s="1"/>
  <c r="P300" i="1"/>
  <c r="P301" i="1"/>
  <c r="W301" i="1" s="1"/>
  <c r="P302" i="1"/>
  <c r="P303" i="1"/>
  <c r="P304" i="1"/>
  <c r="W304" i="1" s="1"/>
  <c r="P305" i="1"/>
  <c r="W305" i="1" s="1"/>
  <c r="P306" i="1"/>
  <c r="W306" i="1" s="1"/>
  <c r="P307" i="1"/>
  <c r="W307" i="1" s="1"/>
  <c r="P308" i="1"/>
  <c r="W308" i="1" s="1"/>
  <c r="P309" i="1"/>
  <c r="P310" i="1"/>
  <c r="W310" i="1" s="1"/>
  <c r="P311" i="1"/>
  <c r="W311" i="1" s="1"/>
  <c r="P312" i="1"/>
  <c r="P313" i="1"/>
  <c r="W313" i="1" s="1"/>
  <c r="P314" i="1"/>
  <c r="W314" i="1" s="1"/>
  <c r="P315" i="1"/>
  <c r="W315" i="1" s="1"/>
  <c r="P316" i="1"/>
  <c r="W316" i="1" s="1"/>
  <c r="P317" i="1"/>
  <c r="W317" i="1" s="1"/>
  <c r="P318" i="1"/>
  <c r="P319" i="1"/>
  <c r="W319" i="1" s="1"/>
  <c r="P320" i="1"/>
  <c r="W320" i="1" s="1"/>
  <c r="W321" i="1"/>
  <c r="P322" i="1"/>
  <c r="W322" i="1" s="1"/>
  <c r="P192" i="1"/>
  <c r="W192" i="1" s="1"/>
  <c r="P228" i="1"/>
  <c r="W228" i="1" s="1"/>
  <c r="P9" i="1"/>
  <c r="W9" i="1" s="1"/>
  <c r="P73" i="1"/>
  <c r="W73" i="1" s="1"/>
  <c r="P74" i="1"/>
  <c r="W74" i="1" s="1"/>
  <c r="T25" i="1" l="1"/>
  <c r="X3" i="1"/>
  <c r="P325" i="1"/>
  <c r="W3" i="1"/>
  <c r="Q318" i="1"/>
  <c r="Q312" i="1"/>
  <c r="X312" i="1" s="1"/>
  <c r="Q309" i="1"/>
  <c r="X309" i="1" s="1"/>
  <c r="X303" i="1"/>
  <c r="Q302" i="1"/>
  <c r="Q300" i="1"/>
  <c r="X300" i="1" s="1"/>
  <c r="X295" i="1"/>
  <c r="Q292" i="1"/>
  <c r="X292" i="1" s="1"/>
  <c r="W287" i="1"/>
  <c r="Q286" i="1"/>
  <c r="Q284" i="1"/>
  <c r="X284" i="1" s="1"/>
  <c r="Q282" i="1"/>
  <c r="Q269" i="1"/>
  <c r="X269" i="1" s="1"/>
  <c r="X266" i="1"/>
  <c r="R264" i="1"/>
  <c r="Q264" i="1"/>
  <c r="X264" i="1" s="1"/>
  <c r="Q263" i="1"/>
  <c r="X263" i="1" s="1"/>
  <c r="Q260" i="1"/>
  <c r="X260" i="1" s="1"/>
  <c r="W259" i="1"/>
  <c r="W256" i="1"/>
  <c r="Q254" i="1"/>
  <c r="X254" i="1" s="1"/>
  <c r="Q253" i="1"/>
  <c r="X253" i="1" s="1"/>
  <c r="Q252" i="1"/>
  <c r="X252" i="1" s="1"/>
  <c r="X248" i="1"/>
  <c r="Q247" i="1"/>
  <c r="X247" i="1" s="1"/>
  <c r="T241" i="1"/>
  <c r="Q241" i="1"/>
  <c r="X241" i="1" s="1"/>
  <c r="Q231" i="1"/>
  <c r="X231" i="1" s="1"/>
  <c r="Q225" i="1"/>
  <c r="X225" i="1" s="1"/>
  <c r="Q222" i="1"/>
  <c r="X222" i="1" s="1"/>
  <c r="Q214" i="1"/>
  <c r="X214" i="1" s="1"/>
  <c r="Q212" i="1"/>
  <c r="X212" i="1" s="1"/>
  <c r="X211" i="1"/>
  <c r="Q208" i="1"/>
  <c r="X208" i="1" s="1"/>
  <c r="X204" i="1"/>
  <c r="Q202" i="1"/>
  <c r="X202" i="1" s="1"/>
  <c r="Q197" i="1"/>
  <c r="X197" i="1" s="1"/>
  <c r="Q195" i="1"/>
  <c r="X195" i="1" s="1"/>
  <c r="X193" i="1"/>
  <c r="Q186" i="1"/>
  <c r="X186" i="1" s="1"/>
  <c r="Q182" i="1"/>
  <c r="X182" i="1" s="1"/>
  <c r="Q179" i="1"/>
  <c r="X179" i="1" s="1"/>
  <c r="Q178" i="1"/>
  <c r="X178" i="1" s="1"/>
  <c r="Q175" i="1"/>
  <c r="X175" i="1" s="1"/>
  <c r="Q174" i="1"/>
  <c r="X174" i="1" s="1"/>
  <c r="Q173" i="1"/>
  <c r="X173" i="1" s="1"/>
  <c r="Q167" i="1"/>
  <c r="X167" i="1" s="1"/>
  <c r="Q166" i="1"/>
  <c r="X166" i="1" s="1"/>
  <c r="Q163" i="1"/>
  <c r="X163" i="1" s="1"/>
  <c r="Q156" i="1"/>
  <c r="X156" i="1" s="1"/>
  <c r="Q154" i="1"/>
  <c r="X154" i="1" s="1"/>
  <c r="Q151" i="1"/>
  <c r="X151" i="1" s="1"/>
  <c r="X149" i="1"/>
  <c r="Q147" i="1"/>
  <c r="X147" i="1" s="1"/>
  <c r="X141" i="1"/>
  <c r="Q127" i="1"/>
  <c r="X127" i="1" s="1"/>
  <c r="X35" i="1"/>
  <c r="Q6" i="1"/>
  <c r="X6" i="1" s="1"/>
  <c r="X124" i="1"/>
  <c r="Q123" i="1"/>
  <c r="X123" i="1" s="1"/>
  <c r="W118" i="1"/>
  <c r="Q115" i="1"/>
  <c r="X115" i="1" s="1"/>
  <c r="Q111" i="1"/>
  <c r="X111" i="1" s="1"/>
  <c r="Q98" i="1"/>
  <c r="X98" i="1" s="1"/>
  <c r="X97" i="1"/>
  <c r="W95" i="1"/>
  <c r="Q94" i="1"/>
  <c r="X94" i="1" s="1"/>
  <c r="W93" i="1"/>
  <c r="X88" i="1"/>
  <c r="Q85" i="1"/>
  <c r="X85" i="1" s="1"/>
  <c r="X83" i="1"/>
  <c r="X325" i="1" s="1"/>
  <c r="X82" i="1"/>
  <c r="Q81" i="1"/>
  <c r="X81" i="1" s="1"/>
  <c r="Q79" i="1"/>
  <c r="X79" i="1" s="1"/>
  <c r="Q78" i="1"/>
  <c r="X78" i="1" s="1"/>
  <c r="Q76" i="1"/>
  <c r="X76" i="1" s="1"/>
  <c r="Q75" i="1"/>
  <c r="X75" i="1" s="1"/>
  <c r="Q68" i="1"/>
  <c r="X68" i="1" s="1"/>
  <c r="Q67" i="1"/>
  <c r="X67" i="1" s="1"/>
  <c r="X63" i="1"/>
  <c r="Q62" i="1"/>
  <c r="X62" i="1" s="1"/>
  <c r="Q61" i="1"/>
  <c r="X61" i="1" s="1"/>
  <c r="Q57" i="1"/>
  <c r="X57" i="1" s="1"/>
  <c r="X53" i="1"/>
  <c r="Q51" i="1"/>
  <c r="X51" i="1" s="1"/>
  <c r="X49" i="1"/>
  <c r="Q48" i="1"/>
  <c r="X48" i="1" s="1"/>
  <c r="X46" i="1"/>
  <c r="Q42" i="1"/>
  <c r="X42" i="1" s="1"/>
  <c r="X34" i="1"/>
  <c r="Q33" i="1"/>
  <c r="X33" i="1" s="1"/>
  <c r="Q30" i="1"/>
  <c r="X30" i="1" s="1"/>
  <c r="X23" i="1"/>
  <c r="Q91" i="1"/>
  <c r="X91" i="1" s="1"/>
  <c r="X13" i="1"/>
  <c r="Q12" i="1"/>
  <c r="S329" i="1" l="1"/>
  <c r="S334" i="1" s="1"/>
  <c r="S336" i="1" s="1"/>
  <c r="S351" i="1" s="1"/>
  <c r="S357" i="1" s="1"/>
  <c r="W127" i="1"/>
  <c r="Q325" i="1"/>
  <c r="W86" i="1"/>
  <c r="W295" i="1"/>
  <c r="X12" i="1"/>
  <c r="W83" i="1"/>
  <c r="W182" i="1"/>
  <c r="W254" i="1"/>
  <c r="W166" i="1"/>
  <c r="W197" i="1"/>
  <c r="W248" i="1"/>
  <c r="W6" i="1"/>
  <c r="W78" i="1"/>
  <c r="W204" i="1"/>
  <c r="W263" i="1"/>
  <c r="W42" i="1"/>
  <c r="W231" i="1"/>
  <c r="W312" i="1"/>
  <c r="X286" i="1"/>
  <c r="W286" i="1"/>
  <c r="W13" i="1"/>
  <c r="W63" i="1"/>
  <c r="W156" i="1"/>
  <c r="W252" i="1"/>
  <c r="W23" i="1"/>
  <c r="W51" i="1"/>
  <c r="W186" i="1"/>
  <c r="W253" i="1"/>
  <c r="W81" i="1"/>
  <c r="W123" i="1"/>
  <c r="W167" i="1"/>
  <c r="W208" i="1"/>
  <c r="W45" i="1"/>
  <c r="W76" i="1"/>
  <c r="W115" i="1"/>
  <c r="W30" i="1"/>
  <c r="W292" i="1"/>
  <c r="W33" i="1"/>
  <c r="W67" i="1"/>
  <c r="W173" i="1"/>
  <c r="W53" i="1"/>
  <c r="W147" i="1"/>
  <c r="W68" i="1"/>
  <c r="W97" i="1"/>
  <c r="W174" i="1"/>
  <c r="W195" i="1"/>
  <c r="W269" i="1"/>
  <c r="W94" i="1"/>
  <c r="W141" i="1"/>
  <c r="W175" i="1"/>
  <c r="W212" i="1"/>
  <c r="W49" i="1"/>
  <c r="W82" i="1"/>
  <c r="W124" i="1"/>
  <c r="W214" i="1"/>
  <c r="W61" i="1"/>
  <c r="W266" i="1"/>
  <c r="W300" i="1"/>
  <c r="X282" i="1"/>
  <c r="W282" i="1"/>
  <c r="X302" i="1"/>
  <c r="W302" i="1"/>
  <c r="X318" i="1"/>
  <c r="W318" i="1"/>
  <c r="W202" i="1"/>
  <c r="W260" i="1"/>
  <c r="W79" i="1"/>
  <c r="W247" i="1"/>
  <c r="W35" i="1"/>
  <c r="W178" i="1"/>
  <c r="W211" i="1"/>
  <c r="W48" i="1"/>
  <c r="W98" i="1"/>
  <c r="W154" i="1"/>
  <c r="W179" i="1"/>
  <c r="W225" i="1"/>
  <c r="W57" i="1"/>
  <c r="W151" i="1"/>
  <c r="W222" i="1"/>
  <c r="W85" i="1"/>
  <c r="W303" i="1"/>
  <c r="W46" i="1"/>
  <c r="W264" i="1"/>
  <c r="W111" i="1"/>
  <c r="W34" i="1"/>
  <c r="W88" i="1"/>
  <c r="W149" i="1"/>
  <c r="W241" i="1"/>
  <c r="W75" i="1"/>
  <c r="W163" i="1"/>
  <c r="W62" i="1"/>
  <c r="W193" i="1"/>
  <c r="W91" i="1"/>
  <c r="W12" i="1"/>
  <c r="W284" i="1"/>
  <c r="W309" i="1"/>
  <c r="T86" i="1" l="1"/>
  <c r="T3" i="1"/>
  <c r="T145" i="1"/>
  <c r="S325" i="1" l="1"/>
  <c r="R327" i="1" s="1"/>
  <c r="S327" i="1" s="1"/>
  <c r="W283" i="1"/>
  <c r="W325" i="1"/>
  <c r="U283" i="1"/>
  <c r="T283" i="1" s="1"/>
  <c r="T325" i="1" s="1"/>
  <c r="U325" i="1" l="1"/>
</calcChain>
</file>

<file path=xl/comments1.xml><?xml version="1.0" encoding="utf-8"?>
<comments xmlns="http://schemas.openxmlformats.org/spreadsheetml/2006/main">
  <authors>
    <author>hp</author>
    <author>JBS SACCO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30-03-2026-200K
31-03-2026-100K</t>
        </r>
      </text>
    </comment>
    <comment ref="E4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300K- 30-JAN-2026
31-02-2026</t>
        </r>
      </text>
    </comment>
    <comment ref="E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04/02/2026
MM
JAN FEB
</t>
        </r>
      </text>
    </comment>
    <comment ref="F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18/03/2026 rpt 108</t>
        </r>
      </text>
    </comment>
    <comment ref="E1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27/02/2026 AIRTEL FEB</t>
        </r>
      </text>
    </comment>
    <comment ref="H1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21/05/2026 rpt 477</t>
        </r>
      </text>
    </comment>
    <comment ref="D1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03/02/2026</t>
        </r>
      </text>
    </comment>
    <comment ref="G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06/04/2026 rpt 206</t>
        </r>
      </text>
    </comment>
    <comment ref="I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590
withdraw 1700k to Phase3 09/06/2026.
Transfared back 700k from phase 3 (30/07/2026).</t>
        </r>
      </text>
    </comment>
    <comment ref="V12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09/06/2026 withdraw for phase 3</t>
        </r>
      </text>
    </comment>
    <comment ref="E1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03/02/2026
shares</t>
        </r>
      </text>
    </comment>
    <comment ref="F1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08/03/2026 shares rpt 021
Airtel 11/03/2026 Shares 10 rpt 045 
Airtel 13/03/2026 Shares 15 rpt 068
                                             </t>
        </r>
      </text>
    </comment>
    <comment ref="H1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01/05/2026 rpt 348</t>
        </r>
      </text>
    </comment>
    <comment ref="E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13/02/2026
mm
feb</t>
        </r>
      </text>
    </comment>
    <comment ref="F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24/03/2026 rpt 123</t>
        </r>
      </text>
    </comment>
    <comment ref="G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21/04/2026 rpt 307</t>
        </r>
      </text>
    </comment>
    <comment ref="H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15/05/2026 rpt 458</t>
        </r>
      </text>
    </comment>
    <comment ref="E1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04/02/2026
MM
</t>
        </r>
      </text>
    </comment>
    <comment ref="F1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29/03/2026 rpt 143</t>
        </r>
      </text>
    </comment>
    <comment ref="H1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13/05/2026 rpt 450
MM 15/05/2026 rpt 455</t>
        </r>
      </text>
    </comment>
    <comment ref="I1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18/06/2026 MM 500k
Withdraw 29/06/2026 MM 400k</t>
        </r>
      </text>
    </comment>
    <comment ref="V1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18/06/2026 0776477212 500k
Withdraw 29/016/2026 MM 400k</t>
        </r>
      </text>
    </comment>
    <comment ref="F1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16/03/2026 rpt 093</t>
        </r>
      </text>
    </comment>
    <comment ref="S1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16/03/2026 rpt 093</t>
        </r>
      </text>
    </comment>
    <comment ref="D1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Banked 01/02/2026
Recorded 04/02/2026
</t>
        </r>
      </text>
    </comment>
    <comment ref="E1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14/02/2026</t>
        </r>
      </text>
    </comment>
    <comment ref="H1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28/05/2026 rpt 537</t>
        </r>
      </text>
    </comment>
    <comment ref="F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12/03/2026 Shares &amp; Sav 200k
MM 12/03/2026 Shares &amp; Sav 300k
17/03/2026 MM Admin rpt 104</t>
        </r>
      </text>
    </comment>
    <comment ref="G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12/04/2026 rpt 261 Shares</t>
        </r>
      </text>
    </comment>
    <comment ref="H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11/05/2026 rpt 436</t>
        </r>
      </text>
    </comment>
    <comment ref="I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602
Withdraw 11/06/2026 for Phase 3</t>
        </r>
      </text>
    </comment>
    <comment ref="V19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11/06/2026 Phase 3</t>
        </r>
      </text>
    </comment>
    <comment ref="G2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08/04/2026 rpt 235</t>
        </r>
      </text>
    </comment>
    <comment ref="H2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520</t>
        </r>
      </text>
    </comment>
    <comment ref="F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02/03/2026 mm
MM 29/03/2026 rpt 138</t>
        </r>
      </text>
    </comment>
    <comment ref="H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01/05/2026 rpt 349
MM 25/05/2026 rpt 497</t>
        </r>
      </text>
    </comment>
    <comment ref="I22" authorId="1">
      <text>
        <r>
          <rPr>
            <b/>
            <sz val="9"/>
            <color indexed="81"/>
            <rFont val="Tahoma"/>
            <charset val="1"/>
          </rPr>
          <t>JBS SACCO:
MM 29/06/2026 rpt 832</t>
        </r>
      </text>
    </comment>
    <comment ref="E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09/02/2026
Airtel</t>
        </r>
      </text>
    </comment>
    <comment ref="F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03/03/2026 9 SHARES &amp; 15K SAV
MM 15/03/2026 Shares 078
Airtel 17/03/2026 Shares 1M rpt 098 +5k Saving
Airtel 22/03/2026 Shares 1.2M +50k Sav rpt 116
Airtel 30/03/2026 rpt 150 Share</t>
        </r>
      </text>
    </comment>
    <comment ref="H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11/05/2026 rpt 439</t>
        </r>
      </text>
    </comment>
    <comment ref="I2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30/06/2026 rpt 845</t>
        </r>
      </text>
    </comment>
    <comment ref="J2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879</t>
        </r>
      </text>
    </comment>
    <comment ref="D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05/02/2026
MM</t>
        </r>
      </text>
    </comment>
    <comment ref="F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23/03/2026 rpt 119</t>
        </r>
      </text>
    </comment>
    <comment ref="G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02/04/2026 rpt 182</t>
        </r>
      </text>
    </comment>
    <comment ref="H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19/05/2026 rpt 471</t>
        </r>
      </text>
    </comment>
    <comment ref="E2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01/02/26
</t>
        </r>
      </text>
    </comment>
    <comment ref="G2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01/04/2026 rpt 172</t>
        </r>
      </text>
    </comment>
    <comment ref="I2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574</t>
        </r>
      </text>
    </comment>
    <comment ref="V2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11/03/2026 Withdraw 1.7M cash</t>
        </r>
      </text>
    </comment>
    <comment ref="E2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26/02/2026 FEB</t>
        </r>
      </text>
    </comment>
    <comment ref="G2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02/04/2026 rpt 187</t>
        </r>
      </text>
    </comment>
    <comment ref="H2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06/05/2026 rpt 409</t>
        </r>
      </text>
    </comment>
    <comment ref="I2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02/06/2026 rpt 608
Bank 16/06/2026 rpt 770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16/03/2026 rpt 094</t>
        </r>
      </text>
    </comment>
    <comment ref="G2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30/04/2026 rpt 332</t>
        </r>
      </text>
    </comment>
    <comment ref="H2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28/05/2026 rpt 541</t>
        </r>
      </text>
    </comment>
    <comment ref="I28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19/06/2026 rpt 786</t>
        </r>
      </text>
    </comment>
    <comment ref="E2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06/02/2026
</t>
        </r>
      </text>
    </comment>
    <comment ref="F2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26/03/2026 rpt 130</t>
        </r>
      </text>
    </comment>
    <comment ref="H2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05/05/2026 rpt 385</t>
        </r>
      </text>
    </comment>
    <comment ref="D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26/02/2026 50K</t>
        </r>
      </text>
    </comment>
    <comment ref="F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24/03/2026 rpt 121
</t>
        </r>
      </text>
    </comment>
    <comment ref="G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30/04/2025 rpt 342</t>
        </r>
      </text>
    </comment>
    <comment ref="I30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30/06/2026 rpt 839</t>
        </r>
      </text>
    </comment>
    <comment ref="E3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12/02/2026
AIRTEL
</t>
        </r>
      </text>
    </comment>
    <comment ref="F3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12/03/2026 rpt 062</t>
        </r>
      </text>
    </comment>
    <comment ref="E3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18/02/2026
 100000 SAVING
6600000 SHARES
</t>
        </r>
      </text>
    </comment>
    <comment ref="F3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27/03/2026 rpt 136</t>
        </r>
      </text>
    </comment>
    <comment ref="I3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07/06/2026</t>
        </r>
      </text>
    </comment>
    <comment ref="E3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2500000 SHARES, 50000  SAVING 26/02/2026 MM</t>
        </r>
      </text>
    </comment>
    <comment ref="F3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10/03/2026 MM rpt 038</t>
        </r>
      </text>
    </comment>
    <comment ref="G3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224</t>
        </r>
      </text>
    </comment>
    <comment ref="H3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10/05/2026 rpt 432</t>
        </r>
      </text>
    </comment>
    <comment ref="I3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573</t>
        </r>
      </text>
    </comment>
    <comment ref="J35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01/07/2026 rpt 858</t>
        </r>
      </text>
    </comment>
    <comment ref="D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03/02/2026</t>
        </r>
      </text>
    </comment>
    <comment ref="E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03/02/2026</t>
        </r>
      </text>
    </comment>
    <comment ref="H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29/05/2026 rpt 542</t>
        </r>
      </text>
    </comment>
    <comment ref="J3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01/07/2026 rpt 857</t>
        </r>
      </text>
    </comment>
    <comment ref="G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06/04/2026 rpt 209</t>
        </r>
      </text>
    </comment>
    <comment ref="H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19/05/2026 rpt 468</t>
        </r>
      </text>
    </comment>
    <comment ref="E3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01/03/2026 BANK FEB</t>
        </r>
      </text>
    </comment>
    <comment ref="G3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02/04/2026 rpt 185</t>
        </r>
      </text>
    </comment>
    <comment ref="H3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06/05/2026 rpt 407
Bank 27/05/2026 rpt 518</t>
        </r>
      </text>
    </comment>
    <comment ref="I39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16/06/2026 rpt 769</t>
        </r>
      </text>
    </comment>
    <comment ref="E4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25/02/2026 feb sav</t>
        </r>
      </text>
    </comment>
    <comment ref="F4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16/03/2026 rpt 089</t>
        </r>
      </text>
    </comment>
    <comment ref="G4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13/04/2026 rpt 267</t>
        </r>
      </text>
    </comment>
    <comment ref="H4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22/05/2026 rpt 482</t>
        </r>
      </text>
    </comment>
    <comment ref="I40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saving 25/06/2026</t>
        </r>
      </text>
    </comment>
    <comment ref="V40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25/06/2026 mm 774654070</t>
        </r>
      </text>
    </comment>
    <comment ref="E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Feb Savings 20/02/2026</t>
        </r>
      </text>
    </comment>
    <comment ref="F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17/03/2026 rpt 097</t>
        </r>
      </text>
    </comment>
    <comment ref="G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14/04/2026 rpt 271</t>
        </r>
      </text>
    </comment>
    <comment ref="H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17/05/2026 rpt 462</t>
        </r>
      </text>
    </comment>
    <comment ref="I41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14/06/2026 rpt 747</t>
        </r>
      </text>
    </comment>
    <comment ref="J41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865</t>
        </r>
      </text>
    </comment>
    <comment ref="E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 BANK SAVING 50k
24/02/2026 bank 50k</t>
        </r>
      </text>
    </comment>
    <comment ref="F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31/03/2026 rpt 156</t>
        </r>
      </text>
    </comment>
    <comment ref="G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30/04/2026 rpt 331</t>
        </r>
      </text>
    </comment>
    <comment ref="H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29/05/2026 rpt 548</t>
        </r>
      </text>
    </comment>
    <comment ref="I42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26/06/2026 rpt 818</t>
        </r>
      </text>
    </comment>
    <comment ref="E4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10/02/2026
Jan &amp; Feb</t>
        </r>
      </text>
    </comment>
    <comment ref="F4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12/03/2026 rpt 063</t>
        </r>
      </text>
    </comment>
    <comment ref="G4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19/04/2026 rpt 299</t>
        </r>
      </text>
    </comment>
    <comment ref="I4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09/06/2026 rpt 690</t>
        </r>
      </text>
    </comment>
    <comment ref="E4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shares 
Airtel
18/02/2026</t>
        </r>
      </text>
    </comment>
    <comment ref="F4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2M SHARES &amp; 100K SAVING 04/03/2026</t>
        </r>
      </text>
    </comment>
    <comment ref="H4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25/05/2026 rpt 500</t>
        </r>
      </text>
    </comment>
    <comment ref="D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01/02/2026</t>
        </r>
      </text>
    </comment>
    <comment ref="E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
Airtel
Shares</t>
        </r>
      </text>
    </comment>
    <comment ref="F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05/03/2026 CASH 
12/03/2026 3M Airtel Shares
13/03/2026 300k Airtel Shares</t>
        </r>
      </text>
    </comment>
    <comment ref="G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30/03/2026 rpt 153</t>
        </r>
      </text>
    </comment>
    <comment ref="H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06/05/2026 rpt 402</t>
        </r>
      </text>
    </comment>
    <comment ref="I4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14/06/2026 rpt 756</t>
        </r>
      </text>
    </comment>
    <comment ref="E4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
07/02/2026</t>
        </r>
      </text>
    </comment>
    <comment ref="H4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05/05/2026 rpt 379</t>
        </r>
      </text>
    </comment>
    <comment ref="F4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50k Admin &amp; 2M Shares 13/03/2026
Bank 15/03/2026 sav rpt 092</t>
        </r>
      </text>
    </comment>
    <comment ref="F5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04/03/2026 MM JAN FEB</t>
        </r>
      </text>
    </comment>
    <comment ref="G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30/04/2026 rpt 337</t>
        </r>
      </text>
    </comment>
    <comment ref="E5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24/02/2026 AIRTEL FEB</t>
        </r>
      </text>
    </comment>
    <comment ref="F5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11/03/2026 rpt 053 Shares
Airtel 17/03/2026 500k shares &amp; 50k saving</t>
        </r>
      </text>
    </comment>
    <comment ref="G5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30/04/2026 rpt 333</t>
        </r>
      </text>
    </comment>
    <comment ref="H5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04/05/2026 rpt 374</t>
        </r>
      </text>
    </comment>
    <comment ref="I5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26/06/2026 rpt 819</t>
        </r>
      </text>
    </comment>
    <comment ref="F5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02/03/2026 airtel </t>
        </r>
      </text>
    </comment>
    <comment ref="G5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16/04/2026 rpt 284</t>
        </r>
      </text>
    </comment>
    <comment ref="I55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16/06/2026 rpt 765</t>
        </r>
      </text>
    </comment>
    <comment ref="E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11/02/2026
MM</t>
        </r>
      </text>
    </comment>
    <comment ref="F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31/03/2026 rpt 163</t>
        </r>
      </text>
    </comment>
    <comment ref="H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06/05/2026 rpt 411</t>
        </r>
      </text>
    </comment>
    <comment ref="E5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10/02/2026
Feb</t>
        </r>
      </text>
    </comment>
    <comment ref="D5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30/01/2026</t>
        </r>
      </text>
    </comment>
    <comment ref="E5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
MM
Feb savings</t>
        </r>
      </text>
    </comment>
    <comment ref="G5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02/04/2026 rpt 180</t>
        </r>
      </text>
    </comment>
    <comment ref="H5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31/05/2026 rpt 560</t>
        </r>
      </text>
    </comment>
    <comment ref="J58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01/07/2026 rpt 852</t>
        </r>
      </text>
    </comment>
    <comment ref="D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30/01/2026
MM
</t>
        </r>
      </text>
    </comment>
    <comment ref="E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23/02/2026 AIRTEL 100K</t>
        </r>
      </text>
    </comment>
    <comment ref="F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31/03/2026 rpt 155</t>
        </r>
      </text>
    </comment>
    <comment ref="G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30/04/2026 rpt 335</t>
        </r>
      </text>
    </comment>
    <comment ref="H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29/05/2026 rpt 549</t>
        </r>
      </text>
    </comment>
    <comment ref="I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08/06/2026 rpt 680
Airtel 30/06/2026 rpt 849</t>
        </r>
      </text>
    </comment>
    <comment ref="G6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15/04/2026 rpt 278</t>
        </r>
      </text>
    </comment>
    <comment ref="F6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13/03/2026 rpt 059</t>
        </r>
      </text>
    </comment>
    <comment ref="J62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01/07/2026 rpt 859</t>
        </r>
      </text>
    </comment>
    <comment ref="F6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Shares MM 13/03/2026 rpt 069
</t>
        </r>
      </text>
    </comment>
    <comment ref="E6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11/02/2026
AIRTEL</t>
        </r>
      </text>
    </comment>
    <comment ref="H6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05/05/2026 rpt 386
</t>
        </r>
      </text>
    </comment>
    <comment ref="D6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03/02/2026
Cash</t>
        </r>
      </text>
    </comment>
    <comment ref="F6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06/03/2026</t>
        </r>
      </text>
    </comment>
    <comment ref="G6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02/04/2026 rpt 179</t>
        </r>
      </text>
    </comment>
    <comment ref="H6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18/05/2026 rpt 467</t>
        </r>
      </text>
    </comment>
    <comment ref="I65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10/06/2026 rpt 709</t>
        </r>
      </text>
    </comment>
    <comment ref="H6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04/05/2026 rpt 377</t>
        </r>
      </text>
    </comment>
    <comment ref="F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08/03/2026 rpt 025</t>
        </r>
      </text>
    </comment>
    <comment ref="G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01/04/2026 rpt 166</t>
        </r>
      </text>
    </comment>
    <comment ref="H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01/05/2026 rpt 346</t>
        </r>
      </text>
    </comment>
    <comment ref="E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26/02/2026 JAN FEB SAVINGS
</t>
        </r>
      </text>
    </comment>
    <comment ref="H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04/05/2026 rpt 371</t>
        </r>
      </text>
    </comment>
    <comment ref="D6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02/02/2026
Airtel</t>
        </r>
      </text>
    </comment>
    <comment ref="F6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04/03/2026 AIRTEL </t>
        </r>
      </text>
    </comment>
    <comment ref="G6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07/04/2026 rpt 223
Airtel 08/04/2026 rpt 242</t>
        </r>
      </text>
    </comment>
    <comment ref="H6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363
Airtel 28/05/2026 rpt 532</t>
        </r>
      </text>
    </comment>
    <comment ref="J6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03/07/2026 rpt 891</t>
        </r>
      </text>
    </comment>
    <comment ref="F7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25/03/2026 rpt 125</t>
        </r>
      </text>
    </comment>
    <comment ref="G7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31/03/2026 Cash rpt 154
Airtel 02/04/2026 rpt 191
Bank 08/04/2026 rpt 234
Cash 22/04/2026 vc 041</t>
        </r>
      </text>
    </comment>
    <comment ref="H7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withdraw 1.5m 11/05/2026 
Airtel 21/05/2026 rpt 479
Airtel 22/05/2026 rpt 483</t>
        </r>
      </text>
    </comment>
    <comment ref="I70" authorId="1">
      <text>
        <r>
          <rPr>
            <b/>
            <sz val="9"/>
            <color indexed="81"/>
            <rFont val="Tahoma"/>
            <family val="2"/>
          </rPr>
          <t xml:space="preserve">JBS SACCO:
</t>
        </r>
        <r>
          <rPr>
            <sz val="9"/>
            <color indexed="81"/>
            <rFont val="Tahoma"/>
            <family val="2"/>
          </rPr>
          <t>Airtel 01/06/2026 rpt 587
Airtel 03/06/2026 rpt 618
Airtel 05/06/2026 rpt 656
Airtel 16/06/2026 rpt 767
21/06/2026 Withdraw mm 2.8m</t>
        </r>
      </text>
    </comment>
    <comment ref="V7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22/04/2026 vc 041 withdraw
MM 11/05/2026 0772700423 1.5m
MM 21/06/2026  2.8m</t>
        </r>
      </text>
    </comment>
    <comment ref="F7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02/03/2026 Airtel rpt 768</t>
        </r>
      </text>
    </comment>
    <comment ref="G7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01/04/2026 rpt 173
Cash 21/04/2026 rpt 308</t>
        </r>
      </text>
    </comment>
    <comment ref="H7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557</t>
        </r>
      </text>
    </comment>
    <comment ref="I71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28/06/2026 rpt 824</t>
        </r>
      </text>
    </comment>
    <comment ref="E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13/02/2026
JAN &amp; FEB</t>
        </r>
      </text>
    </comment>
    <comment ref="G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02/04/2026 rpt 183</t>
        </r>
      </text>
    </comment>
    <comment ref="I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03/06/2026 rpt 619</t>
        </r>
      </text>
    </comment>
    <comment ref="E7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
mm
</t>
        </r>
      </text>
    </comment>
    <comment ref="F7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15/03/2026 sav rpt 083</t>
        </r>
      </text>
    </comment>
    <comment ref="G7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16/04/2026 rpt 287</t>
        </r>
      </text>
    </comment>
    <comment ref="H7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08/05/2026 rpt  426</t>
        </r>
      </text>
    </comment>
    <comment ref="I7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08/06/2026 rpt 887</t>
        </r>
      </text>
    </comment>
    <comment ref="I7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18/06/2026 rpt 775
Airtel 19/06/2026 rpt 789</t>
        </r>
      </text>
    </comment>
    <comment ref="J7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863</t>
        </r>
      </text>
    </comment>
    <comment ref="D7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
MM</t>
        </r>
      </text>
    </comment>
    <comment ref="G7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02/04/2026 rpt 184</t>
        </r>
      </text>
    </comment>
    <comment ref="H7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05/05/2026 rpt 391</t>
        </r>
      </text>
    </comment>
    <comment ref="I7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03/06/2026 rpt 624</t>
        </r>
      </text>
    </comment>
    <comment ref="J78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02/07/2026 rpt 867</t>
        </r>
      </text>
    </comment>
    <comment ref="D7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26/02/2026</t>
        </r>
      </text>
    </comment>
    <comment ref="E7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01/03/2026 JAN FEB</t>
        </r>
      </text>
    </comment>
    <comment ref="F8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13/03/2026 rpt 070
</t>
        </r>
      </text>
    </comment>
    <comment ref="I8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02/06/2026 rpt 611</t>
        </r>
      </text>
    </comment>
    <comment ref="E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23/02/2026 CASH 1500000 SHARES &amp; 250000 SAVING</t>
        </r>
      </text>
    </comment>
    <comment ref="F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15/03/2026 Cash Shares rpt 080</t>
        </r>
      </text>
    </comment>
    <comment ref="G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08/04/2026 rpt245
Cash 13/04/2026 rpt 268
Airtel 29/04/2026 rpt 327</t>
        </r>
      </text>
    </comment>
    <comment ref="E8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08/02/2026
MM 
FEB</t>
        </r>
      </text>
    </comment>
    <comment ref="F8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29/03/2026 rpt 140</t>
        </r>
      </text>
    </comment>
    <comment ref="H8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507</t>
        </r>
      </text>
    </comment>
    <comment ref="I8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30/06/2026 rpt 846</t>
        </r>
      </text>
    </comment>
    <comment ref="D8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
MM</t>
        </r>
      </text>
    </comment>
    <comment ref="F8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06/03/2026 rpt 015</t>
        </r>
      </text>
    </comment>
    <comment ref="F8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17/03/2026 rpt 102</t>
        </r>
      </text>
    </comment>
    <comment ref="H8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03/05/2026 rpt 357</t>
        </r>
      </text>
    </comment>
    <comment ref="I8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28/06/2026 rpt 822</t>
        </r>
      </text>
    </comment>
    <comment ref="E8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 Bank Shares
26/02/2026 bank 2000000   shares</t>
        </r>
      </text>
    </comment>
    <comment ref="F8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20/03/2026 Shares rpt 111
</t>
        </r>
      </text>
    </comment>
    <comment ref="H8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25/05/2026 rpt 491</t>
        </r>
      </text>
    </comment>
    <comment ref="D9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30/01/2026
MM</t>
        </r>
      </text>
    </comment>
    <comment ref="E9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27/02/2026 </t>
        </r>
      </text>
    </comment>
    <comment ref="G9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30/04/2026 Rpt 334</t>
        </r>
      </text>
    </comment>
    <comment ref="H9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553</t>
        </r>
      </text>
    </comment>
    <comment ref="E9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02/02/2026
Airtel</t>
        </r>
      </text>
    </comment>
    <comment ref="G9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09/04/2026 rpt 254</t>
        </r>
      </text>
    </comment>
    <comment ref="I9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10/06/2026 rpt 721</t>
        </r>
      </text>
    </comment>
    <comment ref="E9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FEB 21/02/2026</t>
        </r>
      </text>
    </comment>
    <comment ref="H9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12/05/2026 rpt 446</t>
        </r>
      </text>
    </comment>
    <comment ref="I9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02/06/2026 rpt 606
Bank 23/06/2026 rpt 800</t>
        </r>
      </text>
    </comment>
    <comment ref="D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02/02/2026
Airtel</t>
        </r>
      </text>
    </comment>
    <comment ref="E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27/02/2026 airtel feb</t>
        </r>
      </text>
    </comment>
    <comment ref="F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27/03/2026 rpt 135</t>
        </r>
      </text>
    </comment>
    <comment ref="G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07/04/2026 rpt 218
Airtel 24/04/2026 rpt 314</t>
        </r>
      </text>
    </comment>
    <comment ref="H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10/05/2026 rpt 434
Airtel 25/05/2026 rpt 488</t>
        </r>
      </text>
    </comment>
    <comment ref="I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05/06/2026 rpt 646
Airtel 18/06/2026 rpt 777</t>
        </r>
      </text>
    </comment>
    <comment ref="J95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03/07/2026 rpt 888</t>
        </r>
      </text>
    </comment>
    <comment ref="E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08/02/2026
Airtel
</t>
        </r>
      </text>
    </comment>
    <comment ref="F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08/03/2026 rpt 023
Airtel 10/03/2026 rpt 043 shares
Airtel 20/03/2026 Sav rpt 113</t>
        </r>
      </text>
    </comment>
    <comment ref="G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03/04/2026 rpt 202
Airtel 07/04/2026 rpt 225</t>
        </r>
      </text>
    </comment>
    <comment ref="H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07/05/2026 rpt 421</t>
        </r>
      </text>
    </comment>
    <comment ref="I9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19/06/2026 rpt 782
Airtel 22/06/2026 rpt 797</t>
        </r>
      </text>
    </comment>
    <comment ref="E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03/02/2026</t>
        </r>
      </text>
    </comment>
    <comment ref="F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06/03/2026 RPT 011</t>
        </r>
      </text>
    </comment>
    <comment ref="G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01/04/2026 rpt 170</t>
        </r>
      </text>
    </comment>
    <comment ref="H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07/05/2026 rpt 415</t>
        </r>
      </text>
    </comment>
    <comment ref="I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05/06/2026 rpt 643</t>
        </r>
      </text>
    </comment>
    <comment ref="D9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11/02/2026</t>
        </r>
      </text>
    </comment>
    <comment ref="E9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15/02/2026</t>
        </r>
      </text>
    </comment>
    <comment ref="G9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213</t>
        </r>
      </text>
    </comment>
    <comment ref="H9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11/05/2026 rpt 440</t>
        </r>
      </text>
    </comment>
    <comment ref="I99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14/06/2026 rpt 755</t>
        </r>
      </text>
    </comment>
    <comment ref="E1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10/02/2026
MM</t>
        </r>
      </text>
    </comment>
    <comment ref="F1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29/03/2026 rpt 144</t>
        </r>
      </text>
    </comment>
    <comment ref="I1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04/06/2026 rpt 635</t>
        </r>
      </text>
    </comment>
    <comment ref="F10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13/03/2026 Shares rpt 073</t>
        </r>
      </text>
    </comment>
    <comment ref="E1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09/02/2026</t>
        </r>
      </text>
    </comment>
    <comment ref="F1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05/03/2026 MM</t>
        </r>
      </text>
    </comment>
    <comment ref="G1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03/04/2026 rpt 197</t>
        </r>
      </text>
    </comment>
    <comment ref="H1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05/05/2026 rpt 382
MM 27/05/2025 rpt 510</t>
        </r>
      </text>
    </comment>
    <comment ref="E1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09/02/2026</t>
        </r>
      </text>
    </comment>
    <comment ref="F1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05/03/2026 MM</t>
        </r>
      </text>
    </comment>
    <comment ref="G1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03/04/2026 rpt 198</t>
        </r>
      </text>
    </comment>
    <comment ref="H1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05/05/2026 rpt 383
MM 27/05/2026 rpt 509</t>
        </r>
      </text>
    </comment>
    <comment ref="E10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09/02/2026
</t>
        </r>
      </text>
    </comment>
    <comment ref="F10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05/03/2026</t>
        </r>
      </text>
    </comment>
    <comment ref="G10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03/04/2026 rpt 196</t>
        </r>
      </text>
    </comment>
    <comment ref="H10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05/05/2026 rpt 381
MM 27/05/2026 rpt 508</t>
        </r>
      </text>
    </comment>
    <comment ref="H10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25/05/2026 rpt 492</t>
        </r>
      </text>
    </comment>
    <comment ref="F10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11/03/2026 rpt 046</t>
        </r>
      </text>
    </comment>
    <comment ref="H10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01/05/2026 rpt 344</t>
        </r>
      </text>
    </comment>
    <comment ref="I109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26/06/2026 rpt 820</t>
        </r>
      </text>
    </comment>
    <comment ref="H11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11/05/2026 rpt 438</t>
        </r>
      </text>
    </comment>
    <comment ref="J110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06/07/2026 rpt 909</t>
        </r>
      </text>
    </comment>
    <comment ref="F11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03/03/2026 JAN, FEB MARCH</t>
        </r>
      </text>
    </comment>
    <comment ref="I11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08/06/2026 rpt 684</t>
        </r>
      </text>
    </comment>
    <comment ref="G1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07/04/2026 rpt 228</t>
        </r>
      </text>
    </comment>
    <comment ref="E1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24/02/2026 shares</t>
        </r>
      </text>
    </comment>
    <comment ref="F1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15/03/2026 Shares rpt 082</t>
        </r>
      </text>
    </comment>
    <comment ref="I11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30/06/2026 rpt 842</t>
        </r>
      </text>
    </comment>
    <comment ref="E11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01/03/2026 SHARES &amp; ADMIN</t>
        </r>
      </text>
    </comment>
    <comment ref="D11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31/01/26
</t>
        </r>
      </text>
    </comment>
    <comment ref="F11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11/03/2026 rpt 054</t>
        </r>
      </text>
    </comment>
    <comment ref="G11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20/04/2026 rpt 302</t>
        </r>
      </text>
    </comment>
    <comment ref="I11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07/06/2026 rpt 668</t>
        </r>
      </text>
    </comment>
    <comment ref="D1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30/01/26
</t>
        </r>
      </text>
    </comment>
    <comment ref="E1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02/02/2026
</t>
        </r>
      </text>
    </comment>
    <comment ref="F1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29/03/2026 rpt 142</t>
        </r>
      </text>
    </comment>
    <comment ref="G12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01/04/2026 rpt 165</t>
        </r>
      </text>
    </comment>
    <comment ref="E1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Feb &amp; Jan
10/02/2026
MM</t>
        </r>
      </text>
    </comment>
    <comment ref="F1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11/03/2026 rpt 052</t>
        </r>
      </text>
    </comment>
    <comment ref="G1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226</t>
        </r>
      </text>
    </comment>
    <comment ref="H1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06/05/2026 rpt 410</t>
        </r>
      </text>
    </comment>
    <comment ref="I1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647</t>
        </r>
      </text>
    </comment>
    <comment ref="E1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10/02/2026
CASH</t>
        </r>
      </text>
    </comment>
    <comment ref="F1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09/03/2026 rpt 035</t>
        </r>
      </text>
    </comment>
    <comment ref="G1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07/04/2026 rpt 216</t>
        </r>
      </text>
    </comment>
    <comment ref="H1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390</t>
        </r>
      </text>
    </comment>
    <comment ref="J12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from savings 02/07/2026 MM</t>
        </r>
      </text>
    </comment>
    <comment ref="V12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02/07/2026 250k MM</t>
        </r>
      </text>
    </comment>
    <comment ref="E1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SHARES
09/02/2026
CASH 1000000+50k sav
16/02/2026 CASH 1000000
23/02/2026 cash 1000000</t>
        </r>
      </text>
    </comment>
    <comment ref="F1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1M Shares &amp; 50k Sav Cash 02/03/2026
500k shares 09/03/2026 Cash</t>
        </r>
      </text>
    </comment>
    <comment ref="G1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07/04/2026 rpt 214</t>
        </r>
      </text>
    </comment>
    <comment ref="H1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04/05/2026 rpt 366</t>
        </r>
      </text>
    </comment>
    <comment ref="I1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02/06/2026 rpt 597</t>
        </r>
      </text>
    </comment>
    <comment ref="J12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06/07/2026 rpt 908</t>
        </r>
      </text>
    </comment>
    <comment ref="D12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04/02/2026
</t>
        </r>
      </text>
    </comment>
    <comment ref="E12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04/02/2026
Airtel
</t>
        </r>
      </text>
    </comment>
    <comment ref="F12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08/03/2026 rpt 022</t>
        </r>
      </text>
    </comment>
    <comment ref="G12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14/04/2026 rpt 276</t>
        </r>
      </text>
    </comment>
    <comment ref="H12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19/05/2026 rpt 469</t>
        </r>
      </text>
    </comment>
    <comment ref="I12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17/06/2026 rpt 774</t>
        </r>
      </text>
    </comment>
    <comment ref="F12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JAN FEB  03/03/2026</t>
        </r>
      </text>
    </comment>
    <comment ref="H12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17/05/2026 rpt 463</t>
        </r>
      </text>
    </comment>
    <comment ref="G12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JBS SACCO:
Bank 06/04/2026 rpt 205
Cash 12/04/2026 rpt 266</t>
        </r>
      </text>
    </comment>
    <comment ref="I12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08/06/2026 rpt 683</t>
        </r>
      </text>
    </comment>
    <comment ref="E1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
11/02/2026</t>
        </r>
      </text>
    </comment>
    <comment ref="H1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361</t>
        </r>
      </text>
    </comment>
    <comment ref="E13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20/02/2026 MM SAVING</t>
        </r>
      </text>
    </comment>
    <comment ref="G13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10/04/2026 rpt 257
MM 10/04/2026 rpt 259</t>
        </r>
      </text>
    </comment>
    <comment ref="D13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11/02/2026
MM</t>
        </r>
      </text>
    </comment>
    <comment ref="E13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15/02/2026</t>
        </r>
      </text>
    </comment>
    <comment ref="G13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215</t>
        </r>
      </text>
    </comment>
    <comment ref="H13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11/05/2026 rpt 441</t>
        </r>
      </text>
    </comment>
    <comment ref="I13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NM 14/06/2026 rpt 754</t>
        </r>
      </text>
    </comment>
    <comment ref="E1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25/02/2026 bank sav feb</t>
        </r>
      </text>
    </comment>
    <comment ref="F1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30/03/2026 rpt 152</t>
        </r>
      </text>
    </comment>
    <comment ref="H1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10/05/2026 rpt 431</t>
        </r>
      </text>
    </comment>
    <comment ref="F1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31/03/2026 rpt 160</t>
        </r>
      </text>
    </comment>
    <comment ref="E1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50000
15/02/2026
</t>
        </r>
      </text>
    </comment>
    <comment ref="F1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05/03/2026 Shares rpt 010
Bank 11/03/2026 Shares rpt 051
Cash 15/03/2026 Sav rpt 077</t>
        </r>
      </text>
    </comment>
    <comment ref="H1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356</t>
        </r>
      </text>
    </comment>
    <comment ref="D14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30/01/2026
cash
</t>
        </r>
      </text>
    </comment>
    <comment ref="E14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02/03/2026 cash </t>
        </r>
      </text>
    </comment>
    <comment ref="G14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01/04/2026 rpt 178
Cash 30/04/2026 rpt 339</t>
        </r>
      </text>
    </comment>
    <comment ref="I14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02/06/2026 rpt 616
Cash 29/06/2026 rpt 837</t>
        </r>
      </text>
    </comment>
    <comment ref="G14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14/04/2026 rpt 274</t>
        </r>
      </text>
    </comment>
    <comment ref="H14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04/05/2026 rpt 376</t>
        </r>
      </text>
    </comment>
    <comment ref="I14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603</t>
        </r>
      </text>
    </comment>
    <comment ref="J145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02/07/2026 rpt 871</t>
        </r>
      </text>
    </comment>
    <comment ref="G1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JBS SACCO:
MM 07/04/2026 rpt 227
MM 08/04/2026 rpt 247
MM 14/04/2026 rpt 275
MM 20/04/2026 rpt 303
MM 21/04/2026 rpt 310</t>
        </r>
      </text>
    </comment>
    <comment ref="H1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05/05/2026 rpt 388
MM 08/05/2026 rpt 429
</t>
        </r>
      </text>
    </comment>
    <comment ref="I14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11/06/2026 MM 0777868504</t>
        </r>
      </text>
    </comment>
    <comment ref="V14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11/06/2026 Sent on MM</t>
        </r>
      </text>
    </comment>
    <comment ref="F14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 rpt 091
Airtel 22/03/2026 rpt 114
</t>
        </r>
      </text>
    </comment>
    <comment ref="G14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28/04/2026 rpt 323</t>
        </r>
      </text>
    </comment>
    <comment ref="E14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
15/02/2026 SAVING
JAN FEB
BANK 18/02/2026 SHARES</t>
        </r>
      </text>
    </comment>
    <comment ref="F14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05/03/2026 bank Shares</t>
        </r>
      </text>
    </comment>
    <comment ref="E15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10/02/2026
Airtel
Jan &amp; Feb</t>
        </r>
      </text>
    </comment>
    <comment ref="C1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26/03/2026 saving</t>
        </r>
      </text>
    </comment>
    <comment ref="E1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FEB SAVING 24/02/2026 AIRTEL</t>
        </r>
      </text>
    </comment>
    <comment ref="F1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03/03/2026 AIRTEL SAVING</t>
        </r>
      </text>
    </comment>
    <comment ref="G1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27/04/2026 rpt 319</t>
        </r>
      </text>
    </comment>
    <comment ref="H1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07/05/2026 rpt 414
Airtel 25/05/2026 rpt 498</t>
        </r>
      </text>
    </comment>
    <comment ref="E15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
07/02/2026</t>
        </r>
      </text>
    </comment>
    <comment ref="F15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08/03/2026 rpt 027</t>
        </r>
      </text>
    </comment>
    <comment ref="G15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02/04/2026 rpt 192</t>
        </r>
      </text>
    </comment>
    <comment ref="H15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03/05/2026 rpt 359</t>
        </r>
      </text>
    </comment>
    <comment ref="I152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12/06/2026 rpt 736</t>
        </r>
      </text>
    </comment>
    <comment ref="G15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02/04/2026 rpt 190 shares</t>
        </r>
      </text>
    </comment>
    <comment ref="F15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16/03/2026 Airtel rpt 096</t>
        </r>
      </text>
    </comment>
    <comment ref="G15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16/04/2026 rpt 286 Apr &amp; May</t>
        </r>
      </text>
    </comment>
    <comment ref="H15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20/05/2026 rpt 475</t>
        </r>
      </text>
    </comment>
    <comment ref="E15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23/02/2026 </t>
        </r>
      </text>
    </comment>
    <comment ref="H15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06/05/2026 rpt 399</t>
        </r>
      </text>
    </comment>
    <comment ref="I15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582
Airtel 02/06/2026 rpt 614</t>
        </r>
      </text>
    </comment>
    <comment ref="E1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09/02/2026
Airtel
1M as additional saving</t>
        </r>
      </text>
    </comment>
    <comment ref="G1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400k Airtel 07/04/2026 rpt 220</t>
        </r>
      </text>
    </comment>
    <comment ref="H1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25/05/2026 rpt 503</t>
        </r>
      </text>
    </comment>
    <comment ref="I15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28/06/2026 1.9m </t>
        </r>
      </text>
    </comment>
    <comment ref="V15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28/06/2026 for Phase Three 1.9m</t>
        </r>
      </text>
    </comment>
    <comment ref="G15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10/04/2026 rpt 258
Bank 15/04/2026 rpt 281
Bank 27/04/2026 rpt 322</t>
        </r>
      </text>
    </comment>
    <comment ref="H1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14/05/2026 rpt 454</t>
        </r>
      </text>
    </comment>
    <comment ref="F16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29/03/2026 rpt 137</t>
        </r>
      </text>
    </comment>
    <comment ref="H16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20/05/2026 rpt 476</t>
        </r>
      </text>
    </comment>
    <comment ref="E16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15/02/2026</t>
        </r>
      </text>
    </comment>
    <comment ref="F16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02/03/2026 rpt 060</t>
        </r>
      </text>
    </comment>
    <comment ref="G16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19/04/2026 rpt 300</t>
        </r>
      </text>
    </comment>
    <comment ref="H16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07/05/2023 rpt 412</t>
        </r>
      </text>
    </comment>
    <comment ref="I16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07/06/2026 rpt 670</t>
        </r>
      </text>
    </comment>
    <comment ref="E16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09/02/2026 BANK</t>
        </r>
      </text>
    </comment>
    <comment ref="F16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03/03/2026 BANK</t>
        </r>
      </text>
    </comment>
    <comment ref="G16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07/04/2026 rpt 232</t>
        </r>
      </text>
    </comment>
    <comment ref="H16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15/05/2026 rpt 456
Bank 31/05/2026 rpt 570</t>
        </r>
      </text>
    </comment>
    <comment ref="E16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
Airtel Feb savings</t>
        </r>
      </text>
    </comment>
    <comment ref="F16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11/03/2026 rpt 056</t>
        </r>
      </text>
    </comment>
    <comment ref="G16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12/04/2026 rpt 262</t>
        </r>
      </text>
    </comment>
    <comment ref="D16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
BANK
</t>
        </r>
      </text>
    </comment>
    <comment ref="F16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05/03/2026</t>
        </r>
      </text>
    </comment>
    <comment ref="G16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01/04/2026 rpt 171</t>
        </r>
      </text>
    </comment>
    <comment ref="F16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03/03/2026
Airtel 29/03/2026 rpt 139</t>
        </r>
      </text>
    </comment>
    <comment ref="H16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353</t>
        </r>
      </text>
    </comment>
    <comment ref="I16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09/06/2026 rpt 691</t>
        </r>
      </text>
    </comment>
    <comment ref="E1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
MM</t>
        </r>
      </text>
    </comment>
    <comment ref="F1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02/03/2026 Sav</t>
        </r>
      </text>
    </comment>
    <comment ref="G1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03/04/2026 rpt 195</t>
        </r>
      </text>
    </comment>
    <comment ref="H1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03/05/2026 rpt 358</t>
        </r>
      </text>
    </comment>
    <comment ref="I16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578</t>
        </r>
      </text>
    </comment>
    <comment ref="E1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08/02/2026</t>
        </r>
      </text>
    </comment>
    <comment ref="F1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06/03/2026 rpt 017</t>
        </r>
      </text>
    </comment>
    <comment ref="G1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06/04/2026 rpt 207</t>
        </r>
      </text>
    </comment>
    <comment ref="H1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10/05/2026 rpt 430</t>
        </r>
      </text>
    </comment>
    <comment ref="I168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23/06/2026 rpt 802</t>
        </r>
      </text>
    </comment>
    <comment ref="E16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11/02/2026
AIRTEL</t>
        </r>
      </text>
    </comment>
    <comment ref="F17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30/03/2026 rpt 151</t>
        </r>
      </text>
    </comment>
    <comment ref="I17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613</t>
        </r>
      </text>
    </comment>
    <comment ref="D17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12/02/2026
AIRTEL</t>
        </r>
      </text>
    </comment>
    <comment ref="D17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03/02/2026
Airtel</t>
        </r>
      </text>
    </comment>
    <comment ref="E17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11/02/2026
AIRTEL</t>
        </r>
      </text>
    </comment>
    <comment ref="I17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23/06/2026 rpt 806</t>
        </r>
      </text>
    </comment>
    <comment ref="E1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
08/02/2026</t>
        </r>
      </text>
    </comment>
    <comment ref="F1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08/03/2026 airtel rpt 019</t>
        </r>
      </text>
    </comment>
    <comment ref="G1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08/04/2026 rpt 240</t>
        </r>
      </text>
    </comment>
    <comment ref="H1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384</t>
        </r>
      </text>
    </comment>
    <comment ref="I17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05/06/2026 rpt 650</t>
        </r>
      </text>
    </comment>
    <comment ref="J175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05/07/2026 rpt 904</t>
        </r>
      </text>
    </comment>
    <comment ref="D17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
Airtel</t>
        </r>
      </text>
    </comment>
    <comment ref="E17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
Airtel</t>
        </r>
      </text>
    </comment>
    <comment ref="G17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07/04/2026 rpt 229</t>
        </r>
      </text>
    </comment>
    <comment ref="F18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15/03/2026 rpt 087</t>
        </r>
      </text>
    </comment>
    <comment ref="G18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02/04/2026 rpt 193</t>
        </r>
      </text>
    </comment>
    <comment ref="E18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100000
17/02/2026
18/02/2026
150000 Airtel</t>
        </r>
      </text>
    </comment>
    <comment ref="G18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09/04/2026 Airtel rpt 248</t>
        </r>
      </text>
    </comment>
    <comment ref="I181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25/06/2026 rpt 814</t>
        </r>
      </text>
    </comment>
    <comment ref="E1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feb sav 01/03/2026</t>
        </r>
      </text>
    </comment>
    <comment ref="F1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30/03/2026 rpt 149</t>
        </r>
      </text>
    </comment>
    <comment ref="H1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06/05/2026 rpt 403</t>
        </r>
      </text>
    </comment>
    <comment ref="J182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03/07/2026 rpt 883</t>
        </r>
      </text>
    </comment>
    <comment ref="D18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
MM</t>
        </r>
      </text>
    </comment>
    <comment ref="F18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04/03/2026 sav</t>
        </r>
      </text>
    </comment>
    <comment ref="H18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07/05/2026 rpt 413</t>
        </r>
      </text>
    </comment>
    <comment ref="E18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15/02/2026</t>
        </r>
      </text>
    </comment>
    <comment ref="F18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16/03/2026 rpt 088
</t>
        </r>
      </text>
    </comment>
    <comment ref="E18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23/02/2026</t>
        </r>
      </text>
    </comment>
    <comment ref="F18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18/03/2026 rpt 106</t>
        </r>
      </text>
    </comment>
    <comment ref="G18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17/04/2026 rpt 294</t>
        </r>
      </text>
    </comment>
    <comment ref="H18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19/05/2026 rpt 470</t>
        </r>
      </text>
    </comment>
    <comment ref="I18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02/06/2026 rpt 599</t>
        </r>
      </text>
    </comment>
    <comment ref="H18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351</t>
        </r>
      </text>
    </comment>
    <comment ref="D19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01/02/2026
Airtel</t>
        </r>
      </text>
    </comment>
    <comment ref="E19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27/02/2026 SAV</t>
        </r>
      </text>
    </comment>
    <comment ref="E19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
bank not approved</t>
        </r>
      </text>
    </comment>
    <comment ref="G19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08/04/2026 rpt 236</t>
        </r>
      </text>
    </comment>
    <comment ref="H19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07/05/2026 rpt 418</t>
        </r>
      </text>
    </comment>
    <comment ref="D19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04/02/2026
Cash
4 month</t>
        </r>
      </text>
    </comment>
    <comment ref="F19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50K 04/03/2026 SAV
Pioneer Membership 9m</t>
        </r>
      </text>
    </comment>
    <comment ref="G19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01/04/2026 rpt 168</t>
        </r>
      </text>
    </comment>
    <comment ref="H19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06/05/2026 rpt 401</t>
        </r>
      </text>
    </comment>
    <comment ref="E19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15/02/2026
JAN FEB
</t>
        </r>
      </text>
    </comment>
    <comment ref="F19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27/02/2026 MM sav</t>
        </r>
      </text>
    </comment>
    <comment ref="G19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16/04/2026 rpt 285</t>
        </r>
      </text>
    </comment>
    <comment ref="H19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01/05/2026 rpt 347</t>
        </r>
      </text>
    </comment>
    <comment ref="G1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19/04/2026 rpt 301</t>
        </r>
      </text>
    </comment>
    <comment ref="H19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380</t>
        </r>
      </text>
    </comment>
    <comment ref="E1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05/02/2026
Bank</t>
        </r>
      </text>
    </comment>
    <comment ref="F1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10/03/2026 rpt 039</t>
        </r>
      </text>
    </comment>
    <comment ref="F1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18/03/2026 rpt 107</t>
        </r>
      </text>
    </comment>
    <comment ref="G1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28/04/2026 rpt 325</t>
        </r>
      </text>
    </comment>
    <comment ref="H1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29/05/2026 rpt 545</t>
        </r>
      </text>
    </comment>
    <comment ref="G2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22/04/2026 rpt 312</t>
        </r>
      </text>
    </comment>
    <comment ref="F20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sav 15/03/2026 rpt 086</t>
        </r>
      </text>
    </comment>
    <comment ref="I20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571</t>
        </r>
      </text>
    </comment>
    <comment ref="E20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08/02/2026
airtel</t>
        </r>
      </text>
    </comment>
    <comment ref="F20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04/03/2026 Sav</t>
        </r>
      </text>
    </comment>
    <comment ref="G20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30/04/2026 rpt 339</t>
        </r>
      </text>
    </comment>
    <comment ref="E2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
*12/02/2026 100k saving
*24/02/2026 1.8M shares Airtel</t>
        </r>
      </text>
    </comment>
    <comment ref="F2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26/03/2026 Airtel rpt 127
26/03/2026 Airtel rpt 128
</t>
        </r>
      </text>
    </comment>
    <comment ref="G2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16/04/2026 rpt 282</t>
        </r>
      </text>
    </comment>
    <comment ref="I20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12/06/2026 rpt 738</t>
        </r>
      </text>
    </comment>
    <comment ref="D20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03/02/2026
MM</t>
        </r>
      </text>
    </comment>
    <comment ref="E20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03/02/2026
MM</t>
        </r>
      </text>
    </comment>
    <comment ref="F20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03/02/2026
MM</t>
        </r>
      </text>
    </comment>
    <comment ref="H20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08/05/2026 rpt 425</t>
        </r>
      </text>
    </comment>
    <comment ref="F20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05/03/2026 airtel rpt 795
Airtel 20/03/2026 rpt 110
Withdraw 40k 06/05/2026 to shares june</t>
        </r>
      </text>
    </comment>
    <comment ref="V20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From savings to shares june f/year</t>
        </r>
      </text>
    </comment>
    <comment ref="D21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02/02/2026</t>
        </r>
      </text>
    </comment>
    <comment ref="H21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12/05/2026 rpt 448</t>
        </r>
      </text>
    </comment>
    <comment ref="I21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07/06/2026 RPT 660</t>
        </r>
      </text>
    </comment>
    <comment ref="E2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27/02/2026 AIRTEL 50K</t>
        </r>
      </text>
    </comment>
    <comment ref="F2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31/03/2026 rpt 158</t>
        </r>
      </text>
    </comment>
    <comment ref="G2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30/04/2026 rpt 336</t>
        </r>
      </text>
    </comment>
    <comment ref="H2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29/05/2026 rpt 550</t>
        </r>
      </text>
    </comment>
    <comment ref="I212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29/06/2026 rpt 834</t>
        </r>
      </text>
    </comment>
    <comment ref="E2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26/02/2026
</t>
        </r>
      </text>
    </comment>
    <comment ref="F2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06/03/2026 
rpt 012</t>
        </r>
      </text>
    </comment>
    <comment ref="H2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03/05/2026 rpt 350</t>
        </r>
      </text>
    </comment>
    <comment ref="J21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02/07/2026 rpt 875</t>
        </r>
      </text>
    </comment>
    <comment ref="D21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10/02/2026
</t>
        </r>
      </text>
    </comment>
    <comment ref="H21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31/05/2026 rpt 568
Airtel 31/05/2026 rpt 569</t>
        </r>
      </text>
    </comment>
    <comment ref="E21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08/02/2026
MM</t>
        </r>
      </text>
    </comment>
    <comment ref="G21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16/04/2026 rpt 283</t>
        </r>
      </text>
    </comment>
    <comment ref="I21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11/06/2026 rpt 730</t>
        </r>
      </text>
    </comment>
    <comment ref="J21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01/07/2026 rpt 862</t>
        </r>
      </text>
    </comment>
    <comment ref="F2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04/03/2026</t>
        </r>
      </text>
    </comment>
    <comment ref="G2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03/04/2026 rpt 201</t>
        </r>
      </text>
    </comment>
    <comment ref="I2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02/06/2026 rpt 601</t>
        </r>
      </text>
    </comment>
    <comment ref="H22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13/05/2026 rpt 451</t>
        </r>
      </text>
    </comment>
    <comment ref="E22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15/02/2026
JAN FEB</t>
        </r>
      </text>
    </comment>
    <comment ref="F2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08/03/2026 rpt 026</t>
        </r>
      </text>
    </comment>
    <comment ref="H2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04/05/2026 rpt 369</t>
        </r>
      </text>
    </comment>
    <comment ref="I22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04/06/2026 rpt 634</t>
        </r>
      </text>
    </comment>
    <comment ref="E2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24/02/2026 shares</t>
        </r>
      </text>
    </comment>
    <comment ref="F2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15/03/2026 Shares rpt 081</t>
        </r>
      </text>
    </comment>
    <comment ref="I22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30/06/2026 rpt 841</t>
        </r>
      </text>
    </comment>
    <comment ref="G22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15/04/2026 rpt 280</t>
        </r>
      </text>
    </comment>
    <comment ref="I22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01/06/2026 rpt 581</t>
        </r>
      </text>
    </comment>
    <comment ref="F22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04/03/2026 sav 3 Months</t>
        </r>
      </text>
    </comment>
    <comment ref="I22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04/06/2026 rpt 636</t>
        </r>
      </text>
    </comment>
    <comment ref="E22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27/02/2026 MM FEB SAV</t>
        </r>
      </text>
    </comment>
    <comment ref="F22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11/03/2026 rpt 049</t>
        </r>
      </text>
    </comment>
    <comment ref="G22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24/04/2026 rpt 216</t>
        </r>
      </text>
    </comment>
    <comment ref="F2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04/03/2026 Airtel sav</t>
        </r>
      </text>
    </comment>
    <comment ref="G2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03/04/2026 rpt 199</t>
        </r>
      </text>
    </comment>
    <comment ref="H23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01/05/2026 rpt 345</t>
        </r>
      </text>
    </comment>
    <comment ref="G23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07/04/2026 rpt 221</t>
        </r>
      </text>
    </comment>
    <comment ref="I23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589
Withdraw 3m for phase 3 09/06/2026
Airtel 30/06/2026 rpt 844</t>
        </r>
      </text>
    </comment>
    <comment ref="V231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09/06/2026 withdraw for phase 3 </t>
        </r>
      </text>
    </comment>
    <comment ref="E23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
10/02/2026
</t>
        </r>
      </text>
    </comment>
    <comment ref="F23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08/03/2026 Airtel rpt 024</t>
        </r>
      </text>
    </comment>
    <comment ref="G23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08/04/2026 rpt 244</t>
        </r>
      </text>
    </comment>
    <comment ref="H23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04/05/2026 rpt 365</t>
        </r>
      </text>
    </comment>
    <comment ref="I23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02/06/2026 rpt 610</t>
        </r>
      </text>
    </comment>
    <comment ref="G23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233</t>
        </r>
      </text>
    </comment>
    <comment ref="G2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14/04/2026 rpt 273</t>
        </r>
      </text>
    </comment>
    <comment ref="H2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04/05/2026 rpt 375</t>
        </r>
      </text>
    </comment>
    <comment ref="I23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605</t>
        </r>
      </text>
    </comment>
    <comment ref="J23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02/07/2026 rpt 872</t>
        </r>
      </text>
    </comment>
    <comment ref="E2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10/02/2026</t>
        </r>
      </text>
    </comment>
    <comment ref="F2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15/03/2026 sav rpt 084</t>
        </r>
      </text>
    </comment>
    <comment ref="G2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01/04/2026 rpt 167</t>
        </r>
      </text>
    </comment>
    <comment ref="H2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06/05/2026 rpt 406</t>
        </r>
      </text>
    </comment>
    <comment ref="I23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04/06/2026 rpt 633</t>
        </r>
      </text>
    </comment>
    <comment ref="D23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04/02/2026
Airtel</t>
        </r>
      </text>
    </comment>
    <comment ref="E23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04/02/2026
Airtel</t>
        </r>
      </text>
    </comment>
    <comment ref="F23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10/03/2026 rpt 040 Mar &amp; Apr</t>
        </r>
      </text>
    </comment>
    <comment ref="H23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352</t>
        </r>
      </text>
    </comment>
    <comment ref="J239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05/07/2026 rpt 898</t>
        </r>
      </text>
    </comment>
    <comment ref="F2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09/03/2026 rpt 033</t>
        </r>
      </text>
    </comment>
    <comment ref="G24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30/04/2026 rpt 338</t>
        </r>
      </text>
    </comment>
    <comment ref="E2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09/02/2026 10000
AIRTEL
13/02/2026
14000
17/02/2026 Airtel 20000
23/02/2023 AIRTEL 23000
26/02/2026 AIRTEL 13000</t>
        </r>
      </text>
    </comment>
    <comment ref="F2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05/03/2026
Airtel 22/03/2026 rpt 117
Airtel 29/03/2026 rpt 141</t>
        </r>
      </text>
    </comment>
    <comment ref="G24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09/04/2026 rpt 253
Airtel 26/04/2026 rpt 317
Airtel 30/04/2026 rpt 340</t>
        </r>
      </text>
    </comment>
    <comment ref="E24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26/02/2026 MM FEB </t>
        </r>
      </text>
    </comment>
    <comment ref="F24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05/03/2026 SAV</t>
        </r>
      </text>
    </comment>
    <comment ref="G24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08/04/2026 rpt 237</t>
        </r>
      </text>
    </comment>
    <comment ref="H24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25/05/2026 rpt 490</t>
        </r>
      </text>
    </comment>
    <comment ref="I24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29/06/2026 rpt 829</t>
        </r>
      </text>
    </comment>
    <comment ref="G24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17/04/2026 rpt 295</t>
        </r>
      </text>
    </comment>
    <comment ref="E24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200000 21/02/2026</t>
        </r>
      </text>
    </comment>
    <comment ref="F24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17/03/2026 rpt 099</t>
        </r>
      </text>
    </comment>
    <comment ref="G24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21/04/2026 rpt 309</t>
        </r>
      </text>
    </comment>
    <comment ref="H24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22/05/2026 rpt 485</t>
        </r>
      </text>
    </comment>
    <comment ref="I247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23/06/2026 rpt 804</t>
        </r>
      </text>
    </comment>
    <comment ref="E24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02/02/26 150000
Bank 04/02/2026 3000000
</t>
        </r>
      </text>
    </comment>
    <comment ref="F24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04/03/2026 sav</t>
        </r>
      </text>
    </comment>
    <comment ref="G24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02/04/2026 rpt 181</t>
        </r>
      </text>
    </comment>
    <comment ref="H24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01/05/2026 rpt 343</t>
        </r>
      </text>
    </comment>
    <comment ref="I24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03/06/2026 rpt 621</t>
        </r>
      </text>
    </comment>
    <comment ref="J248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03/07/2026 rpt 881</t>
        </r>
      </text>
    </comment>
    <comment ref="H24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04/05/2026 rpt 368</t>
        </r>
      </text>
    </comment>
    <comment ref="E2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Jan &amp; Feb
Cash 
06/02/2026</t>
        </r>
      </text>
    </comment>
    <comment ref="F25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05/03/2026 CASH</t>
        </r>
      </text>
    </comment>
    <comment ref="E25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22/02/2026 
SAVING JAN &amp; FEB</t>
        </r>
      </text>
    </comment>
    <comment ref="G25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17/04/2026 rpt 293</t>
        </r>
      </text>
    </comment>
    <comment ref="F25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31/03/2026 rpt 157</t>
        </r>
      </text>
    </comment>
    <comment ref="E25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
10/02/2026
Jan &amp; Feb</t>
        </r>
      </text>
    </comment>
    <comment ref="H25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06/05/2026 rpt 397</t>
        </r>
      </text>
    </comment>
    <comment ref="G25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08/04/2026 rpt 243</t>
        </r>
      </text>
    </comment>
    <comment ref="I255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12/06/2026 rpt 739</t>
        </r>
      </text>
    </comment>
    <comment ref="E2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27/02/2026 airtel feb</t>
        </r>
      </text>
    </comment>
    <comment ref="F2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16/03/2026 rpt 090
Airtel 27/03/2026 rpt 134</t>
        </r>
      </text>
    </comment>
    <comment ref="G2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07/04/2026 rpt 217
Airtel 24/04/2026 rpt 313</t>
        </r>
      </text>
    </comment>
    <comment ref="H2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10/05/2026 rpt 433
Airtel 25/05/2026 rpt 487</t>
        </r>
      </text>
    </comment>
    <comment ref="I25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05/06/2026 rpt 645
Airtel 18/06/2026 rpt 776</t>
        </r>
      </text>
    </comment>
    <comment ref="J256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03/07/2026 rpt 887</t>
        </r>
      </text>
    </comment>
    <comment ref="F25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04/03/2026 </t>
        </r>
      </text>
    </comment>
    <comment ref="H25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13/05/2026 rpt 449</t>
        </r>
      </text>
    </comment>
    <comment ref="I25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Withdraw from saving 1m to phase two</t>
        </r>
      </text>
    </comment>
    <comment ref="V25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Withdraw to phase three 08/06/2026</t>
        </r>
      </text>
    </comment>
    <comment ref="E2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
17/02/2026</t>
        </r>
      </text>
    </comment>
    <comment ref="F2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28/02/2026 AIRTEL SAV
24/03/2026 Airtel rpt 122
</t>
        </r>
      </text>
    </comment>
    <comment ref="G2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10/04/2026 rpt 260</t>
        </r>
      </text>
    </comment>
    <comment ref="H2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389
11/05/2026 Transfar to Shares June F/year</t>
        </r>
      </text>
    </comment>
    <comment ref="I259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29/06/2026 rpt 831</t>
        </r>
      </text>
    </comment>
    <comment ref="V25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11/05/2026 Savings to Shares June F/Year</t>
        </r>
      </text>
    </comment>
    <comment ref="E260" authorId="1">
      <text>
        <r>
          <rPr>
            <b/>
            <sz val="9"/>
            <color indexed="81"/>
            <rFont val="Tahoma"/>
            <family val="2"/>
          </rPr>
          <t>JBS SACCO:
Jan &amp; Feb MM
22/02/2026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17/05/2026 rpt 459</t>
        </r>
      </text>
    </comment>
    <comment ref="E26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28/02/2026 FEB SAV</t>
        </r>
      </text>
    </comment>
    <comment ref="G26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08/04/2026 rpt 239</t>
        </r>
      </text>
    </comment>
    <comment ref="J261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873</t>
        </r>
      </text>
    </comment>
    <comment ref="E26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30/01/26</t>
        </r>
      </text>
    </comment>
    <comment ref="F26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30/01/26</t>
        </r>
      </text>
    </comment>
    <comment ref="F26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05/03/2026 BANK SHARES
Bank 11/03/2026 Shares rpt 048</t>
        </r>
      </text>
    </comment>
    <comment ref="G26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13/04/2026 rpt 269</t>
        </r>
      </text>
    </comment>
    <comment ref="E2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1000000 Shares
50000 Savings- Jan
05/02/2026
Bank</t>
        </r>
      </text>
    </comment>
    <comment ref="G26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29/04/2026 rpt 329</t>
        </r>
      </text>
    </comment>
    <comment ref="F27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22/03/2026 rpt 115</t>
        </r>
      </text>
    </comment>
    <comment ref="F27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22/03/2026 rpt 118</t>
        </r>
      </text>
    </comment>
    <comment ref="I27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07/06/2026 rpt 663</t>
        </r>
      </text>
    </comment>
    <comment ref="E27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11/02/2026
MM
</t>
        </r>
      </text>
    </comment>
    <comment ref="E27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26/02/2026 BANK FEB</t>
        </r>
      </text>
    </comment>
    <comment ref="G27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02/04/2026 rpt 186</t>
        </r>
      </text>
    </comment>
    <comment ref="H27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06/05/2026 rpt 408
Bank 27/05/2026 rpt 517</t>
        </r>
      </text>
    </comment>
    <comment ref="I27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16/06/2026 rpt 768</t>
        </r>
      </text>
    </comment>
    <comment ref="G27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07/04/2026 rpt 222</t>
        </r>
      </text>
    </comment>
    <comment ref="E27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19/02/2026 Airtel shares
25/02/2026 airtel admin</t>
        </r>
      </text>
    </comment>
    <comment ref="F27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17/03/2026 rpt 101</t>
        </r>
      </text>
    </comment>
    <comment ref="F27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03/03/2026 AIRTEL</t>
        </r>
      </text>
    </comment>
    <comment ref="G27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01/04/2026 rpt 174
Cash 29/04/2026 rpt 330
</t>
        </r>
      </text>
    </comment>
    <comment ref="G28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19/04/2026 rpt 297</t>
        </r>
      </text>
    </comment>
    <comment ref="F2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04/03/2026 MM</t>
        </r>
      </text>
    </comment>
    <comment ref="G2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1/04/2026 MM rpt 175</t>
        </r>
      </text>
    </comment>
    <comment ref="H28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26/05/2026 rpt 504</t>
        </r>
      </text>
    </comment>
    <comment ref="D28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30/01/2026
</t>
        </r>
      </text>
    </comment>
    <comment ref="H28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393</t>
        </r>
      </text>
    </comment>
    <comment ref="J28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868</t>
        </r>
      </text>
    </comment>
    <comment ref="E28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08/02/2026
cash</t>
        </r>
      </text>
    </comment>
    <comment ref="G28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219</t>
        </r>
      </text>
    </comment>
    <comment ref="H28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14/05/2026 rpt 453</t>
        </r>
      </text>
    </comment>
    <comment ref="E28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
09/02/2026</t>
        </r>
      </text>
    </comment>
    <comment ref="F28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10/03/2026 rpt 041</t>
        </r>
      </text>
    </comment>
    <comment ref="G28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17/04/2026 rpt 291</t>
        </r>
      </text>
    </comment>
    <comment ref="H28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06/05/2026 rpt 398</t>
        </r>
      </text>
    </comment>
    <comment ref="E28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11/02/2026
ADMIN FEE MM
2000000 BANK SHARES
20/02/2026</t>
        </r>
      </text>
    </comment>
    <comment ref="F28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11/03/2026 rpt 044</t>
        </r>
      </text>
    </comment>
    <comment ref="G28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02/04/2026 rpt 189</t>
        </r>
      </text>
    </comment>
    <comment ref="D29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
03/02/2026</t>
        </r>
      </text>
    </comment>
    <comment ref="E29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8,900.000 Shares
100,000 Savings
Bank 05/02/2026</t>
        </r>
      </text>
    </comment>
    <comment ref="E2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*BANK12/02/2026 50000
*23/02/2026 bank 20000
*26/02/2026 BANK 50000
*01/03/2026 BANK 50000</t>
        </r>
      </text>
    </comment>
    <comment ref="F2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06/03/2026 rpt 016
Bank 09/03/2026 rpt 032
Bank 12/03/2026 rpt 066
Bank 18/03/2026 rpt 109
Bank 24/03/2026 rpt 124</t>
        </r>
      </text>
    </comment>
    <comment ref="G2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09/04/2026 rpt 249
Bank 19/04/2026 rpt 298
Bank 27/04/2026 rpt 320
Bank 29/04/2026 rpt 328</t>
        </r>
      </text>
    </comment>
    <comment ref="H2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03/05/2026 rpt 355
Bank 18/05/2026 rpt 465
Bank 28/05/2026 rpt 538
Bank 31/05/2026 rpt 554</t>
        </r>
      </text>
    </comment>
    <comment ref="I29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04/06/2026 rpt 632
Bank 10/06/2026 rpt 720
Bank 12/06/2026 rpt 740
Bank 25/06/2026 rpt 812</t>
        </r>
      </text>
    </comment>
    <comment ref="F29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11/03/2026 Shares rpt 057</t>
        </r>
      </text>
    </comment>
    <comment ref="H2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06/05/2026 rpt 396
Bank sent on 18/03/2026 rpt 422</t>
        </r>
      </text>
    </comment>
    <comment ref="I29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07/06/2026 rpt 662</t>
        </r>
      </text>
    </comment>
    <comment ref="F2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11/03/2026 rpt 055</t>
        </r>
      </text>
    </comment>
    <comment ref="G29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15/02/2026 rpt 279</t>
        </r>
      </text>
    </comment>
    <comment ref="I298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10/06/2026 rpt 724</t>
        </r>
      </text>
    </comment>
    <comment ref="E3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01/03/2026 AIRTEL FEB SAV</t>
        </r>
      </text>
    </comment>
    <comment ref="F3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18/03/2026 rpt 105</t>
        </r>
      </text>
    </comment>
    <comment ref="G3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26/04/2026 rpt 318</t>
        </r>
      </text>
    </comment>
    <comment ref="H30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25/05/2026 rpt 493</t>
        </r>
      </text>
    </comment>
    <comment ref="F30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05/03/2026 JAN FEB MAR</t>
        </r>
      </text>
    </comment>
    <comment ref="H30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506</t>
        </r>
      </text>
    </comment>
    <comment ref="G30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15/04/2026 rpt 277</t>
        </r>
      </text>
    </comment>
    <comment ref="E3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01/03/2026 FEB SAV</t>
        </r>
      </text>
    </comment>
    <comment ref="F3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01/03/2026 BANK SHARES PIONEER</t>
        </r>
      </text>
    </comment>
    <comment ref="G3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01/04/2026 rpt 164</t>
        </r>
      </text>
    </comment>
    <comment ref="H3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354</t>
        </r>
      </text>
    </comment>
    <comment ref="I30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579</t>
        </r>
      </text>
    </comment>
    <comment ref="J30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01/07/2026 rpt 856</t>
        </r>
      </text>
    </comment>
    <comment ref="F3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0.5/03/2026 MM FEB
MM 29/03/2026 rpt 146</t>
        </r>
      </text>
    </comment>
    <comment ref="G3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28/04/2026 rpt 324
MM 28/04/2026 rpt 326</t>
        </r>
      </text>
    </comment>
    <comment ref="I30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01/06/2026 rpt 591</t>
        </r>
      </text>
    </comment>
    <comment ref="J304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03/07/2026 rpt 886</t>
        </r>
      </text>
    </comment>
    <comment ref="D30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06/02/2026
MM </t>
        </r>
      </text>
    </comment>
    <comment ref="H30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08/05/206 Saving to Shares 300k 427</t>
        </r>
      </text>
    </comment>
    <comment ref="I308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14/06/2026 rpt 753
Airtel 17/06/2026 rpt 772</t>
        </r>
      </text>
    </comment>
    <comment ref="J30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03/07/2026 rpt 892</t>
        </r>
      </text>
    </comment>
    <comment ref="V308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From savings to Shares June F/year</t>
        </r>
      </text>
    </comment>
    <comment ref="E30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13/02/2026
AIRTEL
FEB</t>
        </r>
      </text>
    </comment>
    <comment ref="F30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12/03/2026 rpt 064</t>
        </r>
      </text>
    </comment>
    <comment ref="G30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12/04/2026 rpt 263</t>
        </r>
      </text>
    </comment>
    <comment ref="H30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22/05/2026 rpt 484</t>
        </r>
      </text>
    </comment>
    <comment ref="I309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22/06/2026 rpt 795</t>
        </r>
      </text>
    </comment>
    <comment ref="E31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12/02/2026
JAN &amp; FEB</t>
        </r>
      </text>
    </comment>
    <comment ref="F31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SENT 28/02/2026 SAV</t>
        </r>
      </text>
    </comment>
    <comment ref="G310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06/04/2026 rpt 204</t>
        </r>
      </text>
    </comment>
    <comment ref="G31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08/04/2026 rpt 241</t>
        </r>
      </text>
    </comment>
    <comment ref="E3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
08/02/2026
jan &amp; feb</t>
        </r>
      </text>
    </comment>
    <comment ref="G3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14/04/2026 rpt 272</t>
        </r>
      </text>
    </comment>
    <comment ref="H312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11/05/2026 rpt 437</t>
        </r>
      </text>
    </comment>
    <comment ref="D31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
09/02/2026
</t>
        </r>
      </text>
    </comment>
    <comment ref="F31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4.5M Shares &amp; 50k Sav 02/03/2026 Cash</t>
        </r>
      </text>
    </comment>
    <comment ref="G31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13/04/2026 rpt 270</t>
        </r>
      </text>
    </comment>
    <comment ref="I313" authorId="1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10/06/2026 rpt 719</t>
        </r>
      </text>
    </comment>
    <comment ref="E314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
19/02/2026
JAN &amp; FEB</t>
        </r>
      </text>
    </comment>
    <comment ref="E31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26/02/2026 JAN &amp; FEB</t>
        </r>
      </text>
    </comment>
    <comment ref="F31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13/03/2026 rpt 074</t>
        </r>
      </text>
    </comment>
    <comment ref="H315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14/05/2026 rpt 452</t>
        </r>
      </text>
    </comment>
    <comment ref="E31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10/02/2026 Feb
AIRTEL 01/03/2026 FEB</t>
        </r>
      </text>
    </comment>
    <comment ref="G31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01/04/2026 rpt 169</t>
        </r>
      </text>
    </comment>
    <comment ref="H31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394</t>
        </r>
      </text>
    </comment>
    <comment ref="I316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595</t>
        </r>
      </text>
    </comment>
    <comment ref="E317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23/02/2026 SHARES</t>
        </r>
      </text>
    </comment>
    <comment ref="F3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03/03/2026 JAN FEB
AIRTEL 04/03/2026 MAR
Airtel 08/03/2026 rpt 020
Airtel 11/03/2026 rpt 050
Cash 15/03/2026 Shares rpt 079
</t>
        </r>
      </text>
    </comment>
    <comment ref="I319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05/06/2026 rpt 652</t>
        </r>
      </text>
    </comment>
    <comment ref="F321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03/03/2026 BANK SHARES</t>
        </r>
      </text>
    </comment>
    <comment ref="F323" authorId="1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13/03/2026 shares &amp; Admin</t>
        </r>
      </text>
    </comment>
  </commentList>
</comments>
</file>

<file path=xl/comments2.xml><?xml version="1.0" encoding="utf-8"?>
<comments xmlns="http://schemas.openxmlformats.org/spreadsheetml/2006/main">
  <authors>
    <author>JBS SACCO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21/04/2026 rpt 306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28/05/2026 rpt 529</t>
        </r>
      </text>
    </comment>
    <comment ref="G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514</t>
        </r>
      </text>
    </comment>
    <comment ref="H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11/06/2026 rpt 729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21/05/2026 rpt 478
MM  27/05/2026 rpt 515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577</t>
        </r>
      </text>
    </comment>
    <comment ref="G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28/05/2026 rpt 527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15/05/2026 rpt 458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29/05/2026 rpt 552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07/06/2026 rpt 672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567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31/03/2026 RPT 159</t>
        </r>
      </text>
    </comment>
    <comment ref="D1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16/02/2026
MM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02/04/2026 rpt 188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03/05/2026 rpt 360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03/06/2026 rpt 620</t>
        </r>
      </text>
    </comment>
    <comment ref="I1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02/07/2026 rpt 864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19/02/2026
ADMIN &amp; SHARE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23/03/2026 share rpt 120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28/05/2026 rpt 526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16/03/2026 rpt 094</t>
        </r>
      </text>
    </comment>
    <comment ref="G1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25/05/2026 rpt 499</t>
        </r>
      </text>
    </comment>
    <comment ref="F1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30/04/2026 rpt 337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648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MM06/05/2026 rpt 411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15/06/2026 rpt 763</t>
        </r>
      </text>
    </comment>
    <comment ref="F2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03/04/2026 rpt 200</t>
        </r>
      </text>
    </comment>
    <comment ref="F2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15/04/2026 rpt 278</t>
        </r>
      </text>
    </comment>
    <comment ref="G2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28/05/2026 rpt 535
MM 31/05/2026 rpt 563</t>
        </r>
      </text>
    </comment>
    <comment ref="H2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18/06/2026 rpt 781</t>
        </r>
      </text>
    </comment>
    <comment ref="E2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31/03/2026 rpt 161</t>
        </r>
      </text>
    </comment>
    <comment ref="F2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09/04/2026 rpt 250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05/06/2026 rpt 641</t>
        </r>
      </text>
    </comment>
    <comment ref="H2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09/06/2026 rpt 703</t>
        </r>
      </text>
    </comment>
    <comment ref="F3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08/04/2026 rpt 242</t>
        </r>
      </text>
    </comment>
    <comment ref="E3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17/03/2026 rpt 100</t>
        </r>
      </text>
    </comment>
    <comment ref="E3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New 2 Shares 02/03/2026 MM
MM 1 share 09/03/2026 rpt 037
MM 3shares 20/03/2026 rpt 112</t>
        </r>
      </text>
    </comment>
    <comment ref="F3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02/04/2026 rpt 184</t>
        </r>
      </text>
    </comment>
    <comment ref="E3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08/03/2026 rpt 029 </t>
        </r>
      </text>
    </comment>
    <comment ref="G3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from land lease 29/05/2026 rpt 547</t>
        </r>
      </text>
    </comment>
    <comment ref="G3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28/05/2026 rpt 530</t>
        </r>
      </text>
    </comment>
    <comment ref="G3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378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03/06/2026 rpt 625</t>
        </r>
      </text>
    </comment>
    <comment ref="E3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SHARE &amp; ADMIN</t>
        </r>
      </text>
    </comment>
    <comment ref="F3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06/04/2026 rpt 210</t>
        </r>
      </text>
    </comment>
    <comment ref="D3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ADMIN 24/02/2026 MM</t>
        </r>
      </text>
    </comment>
    <comment ref="E3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08/03/2026 MM rpt 030 Shares</t>
        </r>
      </text>
    </comment>
    <comment ref="F3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17/04/2026 rpt 292</t>
        </r>
      </text>
    </comment>
    <comment ref="G3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15/05/2026 rpt 457</t>
        </r>
      </text>
    </comment>
    <comment ref="F4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01/04/2026 rpt 176
Bank 01/04/2026 rpt 177 saving</t>
        </r>
      </text>
    </comment>
    <comment ref="G4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12/05/2026 rpt 447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07/06/2026 rpt 667</t>
        </r>
      </text>
    </comment>
    <comment ref="I4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05/07/2026 rpt 905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05/06/2026 rpt 659</t>
        </r>
      </text>
    </comment>
    <comment ref="H4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12/06/2026 rpt 745</t>
        </r>
      </text>
    </comment>
    <comment ref="I4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05/07/2026 rpt 902</t>
        </r>
      </text>
    </comment>
    <comment ref="E4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09/03/2026 rpt 034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653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598</t>
        </r>
      </text>
    </comment>
    <comment ref="D4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15/02/2026
CASH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594</t>
        </r>
      </text>
    </comment>
    <comment ref="G4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 
BANK 27/05/2026 rpt 521</t>
        </r>
      </text>
    </comment>
    <comment ref="G4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28/05/2026 rpt 533</t>
        </r>
      </text>
    </comment>
    <comment ref="G5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513</t>
        </r>
      </text>
    </comment>
    <comment ref="G5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28/05/2026 rpt 528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03/06/2026 rpt 627</t>
        </r>
      </text>
    </comment>
    <comment ref="I5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03/07/2026 rpt 895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596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27/05/2026 rpt 512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651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08/06/2026 rpt 676</t>
        </r>
      </text>
    </comment>
    <comment ref="D5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23/02/2026 CASH 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04/06/2026 rpt 630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642</t>
        </r>
      </text>
    </comment>
    <comment ref="E5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11/03/2026 rpt 047</t>
        </r>
      </text>
    </comment>
    <comment ref="H6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588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04/06/2026 rpt 640</t>
        </r>
      </text>
    </comment>
    <comment ref="G6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07/05/2026 rpt 420
MM 25/05/2026 rpt 496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04/06/2026 rpt 637
MM 10/06/2026 rpt 725
Airtel 14/06/2026 rpt 750
MM 21/06/2026 rpt 790
</t>
        </r>
      </text>
    </comment>
    <comment ref="I6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from savings 02/06/2026 2M</t>
        </r>
      </text>
    </comment>
    <comment ref="V6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Withdraw from Savings 2M MM 0785227738</t>
        </r>
      </text>
    </comment>
    <comment ref="F6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27/04/2026 rpt 321</t>
        </r>
      </text>
    </comment>
    <comment ref="G6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20/05/2026 rpt 474</t>
        </r>
      </text>
    </comment>
    <comment ref="H6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11/06/2026 rpt 726</t>
        </r>
      </text>
    </comment>
    <comment ref="I6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05/07/2026 rpt 906</t>
        </r>
      </text>
    </comment>
    <comment ref="F6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07/04/2026 rpt 214</t>
        </r>
      </text>
    </comment>
    <comment ref="G6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04/05/2026 rpt 366</t>
        </r>
      </text>
    </comment>
    <comment ref="D6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07/02/2026 SHARES</t>
        </r>
      </text>
    </comment>
    <comment ref="E6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08/03/2026 MM Admin rpt 028</t>
        </r>
      </text>
    </comment>
    <comment ref="H6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657</t>
        </r>
      </text>
    </comment>
    <comment ref="F6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231</t>
        </r>
      </text>
    </comment>
    <comment ref="H67" authorId="0">
      <text>
        <r>
          <rPr>
            <b/>
            <sz val="9"/>
            <color indexed="81"/>
            <rFont val="Tahoma"/>
            <charset val="1"/>
          </rPr>
          <t>JBS SACCO:
MM 14/06/2026 rpt 752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31/03/2026 rpt 162</t>
        </r>
      </text>
    </comment>
    <comment ref="F6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09/04/2026 rpt 251</t>
        </r>
      </text>
    </comment>
    <comment ref="F6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06/04/2026 rpt 211</t>
        </r>
      </text>
    </comment>
    <comment ref="G6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04/05/2026 rpt 372
MM 07/05/2026 rpt 417</t>
        </r>
      </text>
    </comment>
    <comment ref="H6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21/06/2026 rpt 791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576</t>
        </r>
      </text>
    </comment>
    <comment ref="G7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26/05/2026 rpt 501</t>
        </r>
      </text>
    </comment>
    <comment ref="H7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09/06/2026 rpt 700</t>
        </r>
      </text>
    </comment>
    <comment ref="E7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26/03/2026 rpt 129
</t>
        </r>
      </text>
    </comment>
    <comment ref="F7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12/04/2026 rpt 265</t>
        </r>
      </text>
    </comment>
    <comment ref="G7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17/05/2026 rpt 460</t>
        </r>
      </text>
    </comment>
    <comment ref="E7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05/03/2026 SHARES= 400K, 50K ADMIN, 48K SAVING</t>
        </r>
      </text>
    </comment>
    <comment ref="F7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06/04/2026 rpt 208</t>
        </r>
      </text>
    </comment>
    <comment ref="G7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04/05/2026 rpt 370
Airtel 11/05/2026 rpt 444
Airtel 18/05/2026 rpt 466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07/06/2026 rpt 666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649</t>
        </r>
      </text>
    </comment>
    <comment ref="H7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04/06/2026 rpt 639</t>
        </r>
      </text>
    </comment>
    <comment ref="H7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12/06/2026 rpt 737</t>
        </r>
      </text>
    </comment>
    <comment ref="F7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09/04/2026 rpt 252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08/06/2026 rpt 677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07/06/2026 rpt 664</t>
        </r>
      </text>
    </comment>
    <comment ref="E8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27/03/2026 rpt 133</t>
        </r>
      </text>
    </comment>
    <comment ref="G8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29/05/2026 rpt 546</t>
        </r>
      </text>
    </comment>
    <comment ref="G8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17/05/2026 rpt 2026
Airtel 19/05/2026 rpt 472</t>
        </r>
      </text>
    </comment>
    <comment ref="G8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555
</t>
        </r>
      </text>
    </comment>
    <comment ref="I8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05/07/2026 rpt 899</t>
        </r>
      </text>
    </comment>
    <comment ref="G8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566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572</t>
        </r>
      </text>
    </comment>
    <comment ref="D8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
11/02/2026</t>
        </r>
      </text>
    </comment>
    <comment ref="F8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22/04/2026 rpt 311</t>
        </r>
      </text>
    </comment>
    <comment ref="E8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16/03/2026 rpt 085 Shares &amp; Admin </t>
        </r>
      </text>
    </comment>
    <comment ref="H8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644</t>
        </r>
      </text>
    </comment>
    <comment ref="F9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20/04/2026 rpt 304</t>
        </r>
      </text>
    </comment>
    <comment ref="G9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29/05/2026 rpt 543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03/06/2026 rpt 626</t>
        </r>
      </text>
    </comment>
    <comment ref="G9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31/05/2026 rpt 564</t>
        </r>
      </text>
    </comment>
    <comment ref="E9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13/03/2026 rpt 071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03/06/2026 rpt 623</t>
        </r>
      </text>
    </comment>
    <comment ref="I9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02/07/2026 rpt 870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575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05/06/2026 rpt 658</t>
        </r>
      </text>
    </comment>
    <comment ref="E9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26/03/2026 rpt 132</t>
        </r>
      </text>
    </comment>
    <comment ref="G9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28/05/2026 rpt 539</t>
        </r>
      </text>
    </comment>
    <comment ref="G9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06/05/2026 rpt 404</t>
        </r>
      </text>
    </comment>
    <comment ref="E9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29/03/2026 rpt 148</t>
        </r>
      </text>
    </comment>
    <comment ref="G10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524</t>
        </r>
      </text>
    </comment>
    <comment ref="H10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24/06/2026 rpt 808
</t>
        </r>
      </text>
    </comment>
    <comment ref="H10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08/06/2026 rpt 673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584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01/06/206 rpt 580</t>
        </r>
      </text>
    </comment>
    <comment ref="G10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558</t>
        </r>
      </text>
    </comment>
    <comment ref="E10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06/03/2026 AIRTEL SHARES rpt 018</t>
        </r>
      </text>
    </comment>
    <comment ref="E10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06/03/2026 RPT 014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01/06/2026 rpt 585</t>
        </r>
      </text>
    </comment>
    <comment ref="G10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29/05/2026 rpt 544
</t>
        </r>
      </text>
    </comment>
    <comment ref="G10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From Savings 06/05/2026 rpt 405
Airtel 27/05/2026 rpt 516
</t>
        </r>
      </text>
    </comment>
    <comment ref="E11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06/03/2026 BANK rpt no 012</t>
        </r>
      </text>
    </comment>
    <comment ref="G11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03/05/2026 rpt 350</t>
        </r>
      </text>
    </comment>
    <comment ref="H11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12/06/2026 rpt 744</t>
        </r>
      </text>
    </comment>
    <comment ref="I11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05/07/2026 rptv 903</t>
        </r>
      </text>
    </comment>
    <comment ref="E11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Add 1 shares, 02/03/2026 MM</t>
        </r>
      </text>
    </comment>
    <comment ref="G11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08/05/2026 rpt 428</t>
        </r>
      </text>
    </comment>
    <comment ref="H11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02/06/2026 rpt 609</t>
        </r>
      </text>
    </comment>
    <comment ref="H11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02/06/2026 rpt 604</t>
        </r>
      </text>
    </comment>
    <comment ref="G11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10/05/2026 rpt 435
MM 11/05/2026 rpt 442</t>
        </r>
      </text>
    </comment>
    <comment ref="H11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09/06/2026 rpt 698</t>
        </r>
      </text>
    </comment>
    <comment ref="H11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18/06/2026 rpt 779</t>
        </r>
      </text>
    </comment>
    <comment ref="G11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11/05/2026 rpt 445</t>
        </r>
      </text>
    </comment>
    <comment ref="H11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01/06/2026 rpt 592</t>
        </r>
      </text>
    </comment>
    <comment ref="H11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01/06/2026 rpt 593</t>
        </r>
      </text>
    </comment>
    <comment ref="E12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10/03/2026 rpt 042</t>
        </r>
      </text>
    </comment>
    <comment ref="F12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12/04/2026 rpt 264</t>
        </r>
      </text>
    </comment>
    <comment ref="H12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16/06/2026 rpt 764</t>
        </r>
      </text>
    </comment>
    <comment ref="F12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10/04/2026 rpt 256</t>
        </r>
      </text>
    </comment>
    <comment ref="D12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I SHARE
ADMIN 
16/02/2026
AIRTEL</t>
        </r>
      </text>
    </comment>
    <comment ref="F12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17/04/2026 rpt 296</t>
        </r>
      </text>
    </comment>
    <comment ref="H12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26/06/2026 rpt 815</t>
        </r>
      </text>
    </comment>
    <comment ref="E12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05/03/2026 SHARE &amp;ADMIN</t>
        </r>
      </text>
    </comment>
    <comment ref="G12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556</t>
        </r>
      </text>
    </comment>
    <comment ref="G12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31/05/2026 rpt 561
Airtel 31/05/2026 rpt 562</t>
        </r>
      </text>
    </comment>
    <comment ref="H12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04/06/2026 rpt 631</t>
        </r>
      </text>
    </comment>
    <comment ref="H12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01/06/2026 rpt 583</t>
        </r>
      </text>
    </comment>
    <comment ref="H13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04/06/2026 rpt 638</t>
        </r>
      </text>
    </comment>
    <comment ref="I13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01/07/2026 rpt 855</t>
        </r>
      </text>
    </comment>
    <comment ref="G13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25/05/2026 rpt 495</t>
        </r>
      </text>
    </comment>
    <comment ref="H13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10/06/2026 rpt 708</t>
        </r>
      </text>
    </comment>
    <comment ref="G13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03/05/2026 rpt 362
MM 21/05/2026 rpt 480</t>
        </r>
      </text>
    </comment>
    <comment ref="F13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21/04/2026 rpt 305</t>
        </r>
      </text>
    </comment>
    <comment ref="G13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05/05/2026 rpt 387
MM 27/05/2026 rpt 519</t>
        </r>
      </text>
    </comment>
    <comment ref="I13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01/07/2026 rpt 860</t>
        </r>
      </text>
    </comment>
    <comment ref="G13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505</t>
        </r>
      </text>
    </comment>
    <comment ref="H13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10/06/2026 rpt 714</t>
        </r>
      </text>
    </comment>
    <comment ref="H13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05/06/2026 rpt 654</t>
        </r>
      </text>
    </comment>
    <comment ref="I13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03/07/2026 rpt 889</t>
        </r>
      </text>
    </comment>
    <comment ref="G13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28/05/2026 rpt 540</t>
        </r>
      </text>
    </comment>
    <comment ref="H13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03/06/2026 rpt 628</t>
        </r>
      </text>
    </comment>
    <comment ref="H13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15/06/2026 rpt 760</t>
        </r>
      </text>
    </comment>
    <comment ref="G14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11/05/2026 From savings to Chares rpt 443</t>
        </r>
      </text>
    </comment>
    <comment ref="G14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31/05/2026 rpt 559</t>
        </r>
      </text>
    </comment>
    <comment ref="F14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24/04/2026 rpt 215</t>
        </r>
      </text>
    </comment>
    <comment ref="G14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03/05/2026 rpt 364</t>
        </r>
      </text>
    </comment>
    <comment ref="H14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04/06/2026 rpt 629</t>
        </r>
      </text>
    </comment>
    <comment ref="G14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28/05/2026 rpt 531</t>
        </r>
      </text>
    </comment>
    <comment ref="G14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28/05/2026 rpt 536</t>
        </r>
      </text>
    </comment>
    <comment ref="F14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230</t>
        </r>
      </text>
    </comment>
    <comment ref="H14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14/06/2026 rpt 751</t>
        </r>
      </text>
    </comment>
    <comment ref="H14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01/06/2026 rpt 586</t>
        </r>
      </text>
    </comment>
    <comment ref="I14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03/07/2026 rpt 890</t>
        </r>
      </text>
    </comment>
    <comment ref="B14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07793305910</t>
        </r>
      </text>
    </comment>
    <comment ref="D14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22/02/2026 ADMIN
Airtel 27/02/2026 share 100k</t>
        </r>
      </text>
    </comment>
    <comment ref="F14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08/04/2026 rpt 238</t>
        </r>
      </text>
    </comment>
    <comment ref="I14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878</t>
        </r>
      </text>
    </comment>
    <comment ref="G14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27/05/2026 rpt 522</t>
        </r>
      </text>
    </comment>
    <comment ref="D14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22/02/2026 ADMIN</t>
        </r>
      </text>
    </comment>
    <comment ref="H15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02/06/2026 rpt 615</t>
        </r>
      </text>
    </comment>
    <comment ref="G15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22/05/2026 rpt 481</t>
        </r>
      </text>
    </comment>
    <comment ref="H15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07/06/2026 rpt 671</t>
        </r>
      </text>
    </comment>
    <comment ref="H15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11/06/2026 rpt 735</t>
        </r>
      </text>
    </comment>
    <comment ref="F15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08/04/2026 rpt 246</t>
        </r>
      </text>
    </comment>
    <comment ref="G15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08/05/2026 rpt 424</t>
        </r>
      </text>
    </comment>
    <comment ref="H15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09/06/2026 rpt 692</t>
        </r>
      </text>
    </comment>
    <comment ref="G15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238/05/2026 rpt 534</t>
        </r>
      </text>
    </comment>
    <comment ref="E15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04/03/2026 MM</t>
        </r>
      </text>
    </comment>
    <comment ref="F15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01/04/2026 rpt 175</t>
        </r>
      </text>
    </comment>
    <comment ref="G15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14/05/2026 rpt 453</t>
        </r>
      </text>
    </comment>
    <comment ref="E15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29/03/2026 rpt 147</t>
        </r>
      </text>
    </comment>
    <comment ref="H15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08/06/2026 rpt 682</t>
        </r>
      </text>
    </comment>
    <comment ref="H15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12/06/2026 rpt 746</t>
        </r>
      </text>
    </comment>
    <comment ref="I15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05/07/2026 rpt 901</t>
        </r>
      </text>
    </comment>
    <comment ref="G16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28/05/2026 rpt 525</t>
        </r>
      </text>
    </comment>
    <comment ref="G16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05/05/2026 rpt 395</t>
        </r>
      </text>
    </comment>
    <comment ref="H16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17/06/2026 rpt 773</t>
        </r>
      </text>
    </comment>
    <comment ref="F16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15/04/2026 rpt 279</t>
        </r>
      </text>
    </comment>
    <comment ref="F16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07/04/2026 rpt 212</t>
        </r>
      </text>
    </comment>
    <comment ref="G16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07/05/2026 rpt 419</t>
        </r>
      </text>
    </comment>
    <comment ref="H163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07/06/2026 rpt 661</t>
        </r>
      </text>
    </comment>
    <comment ref="G16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08/05/2026 rpt 423
MM 26/05/2026 rpt 502</t>
        </r>
      </text>
    </comment>
    <comment ref="E16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29/03/2026 rpt 145</t>
        </r>
      </text>
    </comment>
    <comment ref="H166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600</t>
        </r>
      </text>
    </comment>
    <comment ref="I16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03/07/2026 rpt 884</t>
        </r>
      </text>
    </comment>
    <comment ref="H16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08/06/2026 rpt 674
Bank 22/06/2026 rpt 792</t>
        </r>
      </text>
    </comment>
    <comment ref="G16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19/05/2026 rpt 473</t>
        </r>
      </text>
    </comment>
    <comment ref="H16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05/06/2026 rpt 655
Cash 19/06/2026 rpt 784</t>
        </r>
      </text>
    </comment>
    <comment ref="G16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From Savings 08/05/2026 rpt 427</t>
        </r>
      </text>
    </comment>
    <comment ref="G17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18/05/2026 rpt 464</t>
        </r>
      </text>
    </comment>
    <comment ref="I17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03/07/2026 rpt 893</t>
        </r>
      </text>
    </comment>
    <comment ref="G171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22/05/2026 RPT 486</t>
        </r>
      </text>
    </comment>
    <comment ref="H172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02/06/2026 rpt 607</t>
        </r>
      </text>
    </comment>
    <comment ref="H17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18/06/2026 rpt 780</t>
        </r>
      </text>
    </comment>
    <comment ref="D174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CASH 250000 SHARES &amp; ADMIN</t>
        </r>
      </text>
    </comment>
    <comment ref="G175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29/05/2026 rpt 551</t>
        </r>
      </text>
    </comment>
    <comment ref="H17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11/06/2026 rpt 727 </t>
        </r>
      </text>
    </comment>
    <comment ref="F177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&amp; Cash 16/04/2026 rpt 289</t>
        </r>
      </text>
    </comment>
    <comment ref="E17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1 SHARE &amp; ADMIN 01/03/2026 MM</t>
        </r>
      </text>
    </comment>
    <comment ref="G17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MM 04/05/2026 rpt 373</t>
        </r>
      </text>
    </comment>
    <comment ref="F17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06/04/2026 rpt 203</t>
        </r>
      </text>
    </comment>
    <comment ref="G179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06/05/2026 rpt 400
Airtel 31/05/2026 rpt 565</t>
        </r>
      </text>
    </comment>
    <comment ref="G180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Bank 27/05/2026 rpt 523</t>
        </r>
      </text>
    </comment>
    <comment ref="H18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 22/06/2026 rpt 796</t>
        </r>
      </text>
    </comment>
    <comment ref="H18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23/06/2026 rpt 803</t>
        </r>
      </text>
    </comment>
    <comment ref="H18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23/06/2026 rpt 799</t>
        </r>
      </text>
    </comment>
    <comment ref="H18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25/06/2026 rpt 810</t>
        </r>
      </text>
    </comment>
    <comment ref="H18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26/06/2026 rpt 816</t>
        </r>
      </text>
    </comment>
    <comment ref="H18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28/06/2026 rpt 825</t>
        </r>
      </text>
    </comment>
    <comment ref="H18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28/06/2026 rpt 826</t>
        </r>
      </text>
    </comment>
    <comment ref="H188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29/06/2026 rpt 828</t>
        </r>
      </text>
    </comment>
    <comment ref="I18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869
Airtel 05/07/2026 rpt 900</t>
        </r>
      </text>
    </comment>
  </commentList>
</comments>
</file>

<file path=xl/comments3.xml><?xml version="1.0" encoding="utf-8"?>
<comments xmlns="http://schemas.openxmlformats.org/spreadsheetml/2006/main">
  <authors>
    <author>JBS SACCO</author>
  </authors>
  <commentList>
    <comment ref="E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07/06/2026 rpt 669
Cash 10/06/2026 rpt 710</t>
        </r>
      </text>
    </comment>
    <comment ref="E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08/06/2026 rpt 675</t>
        </r>
      </text>
    </comment>
    <comment ref="E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08/06/2026 rpt 678
Bank 25/06/2026 rpt 811
Bank 01/07/2026 rpt 861</t>
        </r>
      </text>
    </comment>
    <comment ref="E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08/06/2026 rpt 679
Bank 23/06/2026 rpt 801</t>
        </r>
      </text>
    </comment>
    <comment ref="E8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saving &amp; Bank 08/06/2026 rpt 681</t>
        </r>
      </text>
    </comment>
    <comment ref="E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08/06/2026 rpt 685</t>
        </r>
      </text>
    </comment>
    <comment ref="E1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08/06/2026 rpt 686</t>
        </r>
      </text>
    </comment>
    <comment ref="E1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09/06/2026 rpt 688 (3 deposits)
Bank 10/06/2026 rpt 705</t>
        </r>
      </text>
    </comment>
    <comment ref="E1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09/06/2026 rpt 689
Airtel 09/06/2026 rpt 695</t>
        </r>
      </text>
    </comment>
    <comment ref="E1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09/06/2026 rpt 693
Airtel 10/06/2026 rpt 717
Airtel 18/06/2026 rpt 778
Airtel 29/06/2026 rpt 835</t>
        </r>
      </text>
    </comment>
    <comment ref="E1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09/06/2026 rpt  694
Bank 19/06/2026 rpt 785</t>
        </r>
      </text>
    </comment>
    <comment ref="E1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09/06/2026 rpt 696
MM 14/06/2026 rpt 749
Airtel 03/07/2026 rpt 894</t>
        </r>
      </text>
    </comment>
    <comment ref="E1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09/06/2026 rpt 697
Bank 01/06/2026 rpt 853</t>
        </r>
      </text>
    </comment>
    <comment ref="E1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09/06/2026 rpt 704
Bank 01/06/2026 rpt 851</t>
        </r>
      </text>
    </comment>
    <comment ref="E18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01/07/2026 rpt 850</t>
        </r>
      </text>
    </comment>
    <comment ref="E1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From saving 09/06/2026 rpt 699
Airtel 30/06/2026 rpt 843</t>
        </r>
      </text>
    </comment>
    <comment ref="E2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10/06/2026 rpt 706
Airtel 21/06/2026 rpt 788
Airtel 26/06/2026 rpt 817
Airtel 03/07/2026 rpt 882</t>
        </r>
      </text>
    </comment>
    <comment ref="E2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10/06/2026 rpt 707</t>
        </r>
      </text>
    </comment>
    <comment ref="E2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10/06/2026 rpt 708</t>
        </r>
      </text>
    </comment>
    <comment ref="E2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10/06/2026 rpt 711</t>
        </r>
      </text>
    </comment>
    <comment ref="E2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10/06/2026 rpt 712
Bank 22/06/2026 rpt 798
Bank 28/06/2026 rpt 848</t>
        </r>
      </text>
    </comment>
    <comment ref="E2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10/06/2026 rpt 713</t>
        </r>
      </text>
    </comment>
    <comment ref="E2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10/06/2026 rpt 715</t>
        </r>
      </text>
    </comment>
    <comment ref="E2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10/06/2026 rpt 716
Bank 15/06/2026 rpt 759
Bank 03/07/2026 rpt 885</t>
        </r>
      </text>
    </comment>
    <comment ref="E28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10/06/2026 rpt 722
Savings 11/06/2026 rpt 731</t>
        </r>
      </text>
    </comment>
    <comment ref="E2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10/06/2026 rpt 723</t>
        </r>
      </text>
    </comment>
    <comment ref="E3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11/06/2026 rpt 728</t>
        </r>
      </text>
    </comment>
    <comment ref="E3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11/06/2026 rpt 732</t>
        </r>
      </text>
    </comment>
    <comment ref="E3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11/06/2026 rpt 734
Airtel 05/07/2026 rpt 896</t>
        </r>
      </text>
    </comment>
    <comment ref="E3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12/06/2026 rpt 741</t>
        </r>
      </text>
    </comment>
    <comment ref="E3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Cash 12/06/2026 rpt 742</t>
        </r>
      </text>
    </comment>
    <comment ref="E3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12/06/2026 rpt 743</t>
        </r>
      </text>
    </comment>
    <comment ref="E3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14/06/2026 rpt 748
MM 24/06/2026 rpt 809</t>
        </r>
      </text>
    </comment>
    <comment ref="E37" authorId="0">
      <text>
        <r>
          <rPr>
            <b/>
            <sz val="9"/>
            <color indexed="81"/>
            <rFont val="Tahoma"/>
            <charset val="1"/>
          </rPr>
          <t>JBS SACCO:
Cash 15/06/2026 rpt 757
Cash 22/06/2026 rpt 794
Cach 29/062026 rpt 833
Cash 06/07/2026 rpt 907</t>
        </r>
      </text>
    </comment>
    <comment ref="E38" authorId="0">
      <text>
        <r>
          <rPr>
            <b/>
            <sz val="9"/>
            <color indexed="81"/>
            <rFont val="Tahoma"/>
            <family val="2"/>
          </rPr>
          <t>JBS SACCO:</t>
        </r>
        <r>
          <rPr>
            <sz val="9"/>
            <color indexed="81"/>
            <rFont val="Tahoma"/>
            <family val="2"/>
          </rPr>
          <t xml:space="preserve">
Airtel 15/06/2026 rpt 758
Airtel 29/06/2026 rpt 836</t>
        </r>
      </text>
    </comment>
    <comment ref="E3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15/06/2026 rpt 762
Bank 22/06/2026 rpt 793</t>
        </r>
      </text>
    </comment>
    <comment ref="E4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16/06/2026 rpt 766</t>
        </r>
      </text>
    </comment>
    <comment ref="E4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17/06/2026 rpt 771</t>
        </r>
      </text>
    </comment>
    <comment ref="E4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19/06/2026 rpt 783</t>
        </r>
      </text>
    </comment>
    <comment ref="E4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21/06/2026 rpt 787</t>
        </r>
      </text>
    </comment>
    <comment ref="E4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23/06/2026 rpt 805</t>
        </r>
      </text>
    </comment>
    <comment ref="E4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23/06/2026 rpt 807</t>
        </r>
      </text>
    </comment>
    <comment ref="E4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MM 25/06/2026 rpt 813</t>
        </r>
      </text>
    </comment>
    <comment ref="E4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26/06/2026 rpt 816</t>
        </r>
      </text>
    </comment>
    <comment ref="E48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26/06/2026 rpt 821
Bank 30/06/2026 rpt 840</t>
        </r>
      </text>
    </comment>
    <comment ref="E49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28/06/2026 rpt 823
From Savings 28/06/2026 rpt 827</t>
        </r>
      </text>
    </comment>
    <comment ref="E50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30/06/2026 rpt 838</t>
        </r>
      </text>
    </comment>
    <comment ref="E51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30/06/2026 rpt 847</t>
        </r>
      </text>
    </comment>
    <comment ref="E52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01/07/2026rpt 854</t>
        </r>
      </text>
    </comment>
    <comment ref="E53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02/07/2026 rpt 866</t>
        </r>
      </text>
    </comment>
    <comment ref="E54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02/07/2026 rpt 876</t>
        </r>
      </text>
    </comment>
    <comment ref="E55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 03/07/2026 rpt 880</t>
        </r>
      </text>
    </comment>
    <comment ref="E56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Bank 05/07/2026 rpt 897</t>
        </r>
      </text>
    </comment>
    <comment ref="E57" authorId="0">
      <text>
        <r>
          <rPr>
            <b/>
            <sz val="9"/>
            <color indexed="81"/>
            <rFont val="Tahoma"/>
            <charset val="1"/>
          </rPr>
          <t>JBS SACCO:</t>
        </r>
        <r>
          <rPr>
            <sz val="9"/>
            <color indexed="81"/>
            <rFont val="Tahoma"/>
            <charset val="1"/>
          </rPr>
          <t xml:space="preserve">
Airtel 06/07/2026 rpt 910</t>
        </r>
      </text>
    </comment>
  </commentList>
</comments>
</file>

<file path=xl/sharedStrings.xml><?xml version="1.0" encoding="utf-8"?>
<sst xmlns="http://schemas.openxmlformats.org/spreadsheetml/2006/main" count="948" uniqueCount="643">
  <si>
    <t>JB'S TEAM 100 MODERN FARMERS SACCO FULLY PAID  SACCO MEMBERS.</t>
  </si>
  <si>
    <t>NAMES</t>
  </si>
  <si>
    <t>SAVINGS</t>
  </si>
  <si>
    <t>AALIYAH SUMAYA</t>
  </si>
  <si>
    <t>ABAASA EDWIG</t>
  </si>
  <si>
    <t>ABARIHO CLARET</t>
  </si>
  <si>
    <t>MAGEZI ABDULMALIK HIGENYI</t>
  </si>
  <si>
    <t>ATWEETA ABIGAIL</t>
  </si>
  <si>
    <t>AHABWE MARTIN</t>
  </si>
  <si>
    <t>AHIMBISIBWE STALLON</t>
  </si>
  <si>
    <t>AINEMUKAMA MACKLINE</t>
  </si>
  <si>
    <t>AINOBUGABE HOPE</t>
  </si>
  <si>
    <t>AKANDINDA SUSAN</t>
  </si>
  <si>
    <t>AKIROR STELLA</t>
  </si>
  <si>
    <t>ALEX BAWA</t>
  </si>
  <si>
    <t>KAMOGA ALEX</t>
  </si>
  <si>
    <t>ALFRED PETERSON</t>
  </si>
  <si>
    <t>ALINDA AGNES</t>
  </si>
  <si>
    <t>AMANYA ARNOLD</t>
  </si>
  <si>
    <t>AMONY CHARITY</t>
  </si>
  <si>
    <t>ANDREW SSEMANDA</t>
  </si>
  <si>
    <t>ANGELINA NAKAVUMA</t>
  </si>
  <si>
    <t>ANGUZU AND FAMILY</t>
  </si>
  <si>
    <t>APALAT SCOVIA</t>
  </si>
  <si>
    <t>ASHABA SHEILA/NABACWA GRACE</t>
  </si>
  <si>
    <t xml:space="preserve">ASIIMWE ALIA </t>
  </si>
  <si>
    <t>ASIIMWE EVALYNE</t>
  </si>
  <si>
    <t>ATHANAZ CALVIN</t>
  </si>
  <si>
    <t>ATUHAIRE VICKY</t>
  </si>
  <si>
    <t>ATUKUNDA RUTH</t>
  </si>
  <si>
    <t>ATUKWATSE SANDRAH</t>
  </si>
  <si>
    <t>ATULINDA STELLA</t>
  </si>
  <si>
    <t>ATWIJUKIRE LUCKIOUS</t>
  </si>
  <si>
    <t>ATWINE DOROTHY</t>
  </si>
  <si>
    <t>AYEBARE DOREEN</t>
  </si>
  <si>
    <t>AYEBAZIBWE PROSSY PERFECT</t>
  </si>
  <si>
    <t>AYIYUROTE JANEPHER</t>
  </si>
  <si>
    <t>BABIRYE JULIET</t>
  </si>
  <si>
    <t>BABIRYE LYDIA UJENEZA</t>
  </si>
  <si>
    <t>BABIRYE SHARON</t>
  </si>
  <si>
    <t>BAGONZA ABUBAKER</t>
  </si>
  <si>
    <t>BAMULANJE SARAH</t>
  </si>
  <si>
    <t>BAMULASA JAMES</t>
  </si>
  <si>
    <t>BAMUTALIRA ABDUL IBIN SAIF</t>
  </si>
  <si>
    <t>BANURA SARAH</t>
  </si>
  <si>
    <t>BATAMULIZA JOVIA &amp; BAMULIGIRE ANNET</t>
  </si>
  <si>
    <t>BATEESAKI CHESTER</t>
  </si>
  <si>
    <t>BATUUKA MAUREEN NAKALEMA</t>
  </si>
  <si>
    <t>BERNA NALWEYISO</t>
  </si>
  <si>
    <t>BIRUNGI JOAN</t>
  </si>
  <si>
    <t>BIRUNGI ZAWEDDE</t>
  </si>
  <si>
    <t>BRENDA KEMIGISHA</t>
  </si>
  <si>
    <t>BRIAN MUTEBI</t>
  </si>
  <si>
    <t>BUGINGO IMMACULATE</t>
  </si>
  <si>
    <t>BUKENYA NAJIB</t>
  </si>
  <si>
    <t>BULAMU FAZIRAH</t>
  </si>
  <si>
    <t>BUSINGYE ADRINE</t>
  </si>
  <si>
    <t>BUYINZA PHIONA</t>
  </si>
  <si>
    <t>BUYINZA STELLA</t>
  </si>
  <si>
    <t>DIZZY LILLIAN NANKYA</t>
  </si>
  <si>
    <t>DRATERU CLARE</t>
  </si>
  <si>
    <t>DUNCAN MUWANGUZI</t>
  </si>
  <si>
    <t>EDGAR MUBANDA</t>
  </si>
  <si>
    <t>EMOCHU GEORGE</t>
  </si>
  <si>
    <t>EPISU BENON</t>
  </si>
  <si>
    <t>EPWATA HUZAIFAH</t>
  </si>
  <si>
    <t>FLAVIA MORIDA</t>
  </si>
  <si>
    <t>FLORENCE KABATESI</t>
  </si>
  <si>
    <t>FURAHA JOAN</t>
  </si>
  <si>
    <t>GIFT SAUDA</t>
  </si>
  <si>
    <t>GODWIN OKUDI</t>
  </si>
  <si>
    <t>HASAHYA RITAH</t>
  </si>
  <si>
    <t>HIGENYI ROBERT</t>
  </si>
  <si>
    <t>IKIRIZA PEACE</t>
  </si>
  <si>
    <t>ISMA MBAJJA</t>
  </si>
  <si>
    <t>KYEWAMUWA JAMIRA</t>
  </si>
  <si>
    <t>JOHNSON DAVID WABWIRE</t>
  </si>
  <si>
    <t>NAMAKUMBI JOSEPHINE</t>
  </si>
  <si>
    <t>JUDITH NAKALEMBE</t>
  </si>
  <si>
    <t>JUMA HAMIDU</t>
  </si>
  <si>
    <t>KABAALE GEOFREY MWESIGWA</t>
  </si>
  <si>
    <t>KABAHWEZA JUSTINE</t>
  </si>
  <si>
    <t>KABUGO ABU BAKER</t>
  </si>
  <si>
    <t>KAHERO JOAN</t>
  </si>
  <si>
    <t>KAJUMBA MOLLY</t>
  </si>
  <si>
    <t>KALEMA HAKIM</t>
  </si>
  <si>
    <t>KALULE FAHAD</t>
  </si>
  <si>
    <t>KALUNGI SEVIOUR RWAGASORE</t>
  </si>
  <si>
    <t>KALYANGO ABBEY SSENABULYA</t>
  </si>
  <si>
    <t>KANYESIGYE SAM</t>
  </si>
  <si>
    <t>KARUNGI BRENDA</t>
  </si>
  <si>
    <t>KARUNGI VIVIAN</t>
  </si>
  <si>
    <t>KASIBANTE PAUL</t>
  </si>
  <si>
    <t>KASUJJA BUWEMBO ABUBAKER</t>
  </si>
  <si>
    <t>KATO PETER</t>
  </si>
  <si>
    <t>KATONGOLE FRANK</t>
  </si>
  <si>
    <t>KAWUKI PETERSON</t>
  </si>
  <si>
    <t>KAYESU SARAH</t>
  </si>
  <si>
    <t>KEMIGISHA DORRIS</t>
  </si>
  <si>
    <t>KENNETH MALOBA</t>
  </si>
  <si>
    <t>KIBOKO FAVOUR KANYEIHAMBA MUHOOZI</t>
  </si>
  <si>
    <t>KIBOKO GEORGE TUMUSIIME MUTEBILE</t>
  </si>
  <si>
    <t>KIBOKO PETER</t>
  </si>
  <si>
    <t>KIBUUKA VINCENT</t>
  </si>
  <si>
    <t>KICONCO JESCA</t>
  </si>
  <si>
    <t>KIGOZI ISAAC KEN</t>
  </si>
  <si>
    <t>KIMULI JULIUS</t>
  </si>
  <si>
    <t>KISAKYE EVELYN</t>
  </si>
  <si>
    <t>KISAKYE LEOKADIA</t>
  </si>
  <si>
    <t>KIWANHUKA PAUL</t>
  </si>
  <si>
    <t>KIYIMBA RAYNOLD</t>
  </si>
  <si>
    <t>KIZITO JOVAN PATRICK/ KALAMULA JONAH ERIC</t>
  </si>
  <si>
    <t>KOBUSINGE JOYCE</t>
  </si>
  <si>
    <t>KUKKIRIZA PHOEBE</t>
  </si>
  <si>
    <t>KYALIMPA CECILIA</t>
  </si>
  <si>
    <t>KYARISIMA PROSSY</t>
  </si>
  <si>
    <t>KYASIMIIRE WINNIE</t>
  </si>
  <si>
    <t>KYOMUHANGI PHIONA</t>
  </si>
  <si>
    <t>KYOMUKAMA NAOME</t>
  </si>
  <si>
    <t>LOGOSE PHIONA</t>
  </si>
  <si>
    <t>LUBEGA DICKSON</t>
  </si>
  <si>
    <t xml:space="preserve">ADEKE LUCY PAULINE </t>
  </si>
  <si>
    <t>AYEBAZIBWE MACKLINE</t>
  </si>
  <si>
    <t>MAGUMBA ROBERT</t>
  </si>
  <si>
    <t>MARGRET NANONO</t>
  </si>
  <si>
    <t>MWISAAKA MARY</t>
  </si>
  <si>
    <t>MAYLYNN HAIZEY MUTEBI</t>
  </si>
  <si>
    <t>MAYOMBWE REGAN MUHAMMAD</t>
  </si>
  <si>
    <t>MBABAZI SUSAN</t>
  </si>
  <si>
    <t>MIDIUS ATWEBEMBEIRE</t>
  </si>
  <si>
    <t>MIKE KISAAME</t>
  </si>
  <si>
    <t>MIREMBE ESTHER</t>
  </si>
  <si>
    <t>MIREMBE SHIPHRAH</t>
  </si>
  <si>
    <t>MIRIAM DHIKUSOOKA</t>
  </si>
  <si>
    <t>MITALA ARNOLD</t>
  </si>
  <si>
    <t>MOSES KYEYUNE</t>
  </si>
  <si>
    <t>MPIRIRWE GLORIOUS</t>
  </si>
  <si>
    <t>MPIRWE LILIAN</t>
  </si>
  <si>
    <t>MUGABI EDITH</t>
  </si>
  <si>
    <t>MUGERWA JOHN BOSCO</t>
  </si>
  <si>
    <t>MUGISHA AMOS</t>
  </si>
  <si>
    <t>MUGISHA KAITESI RACHEAL</t>
  </si>
  <si>
    <t>MUGOYA ERIC</t>
  </si>
  <si>
    <t>MUHINDO SAIDI</t>
  </si>
  <si>
    <t>MUHUMULE RUGARAMBI</t>
  </si>
  <si>
    <t>MUKASA ABDALLAH</t>
  </si>
  <si>
    <t>MUKISA IBRAHIM</t>
  </si>
  <si>
    <t>MUKWAYA FLORENCE</t>
  </si>
  <si>
    <t>MUSIIMENTA BRENDA</t>
  </si>
  <si>
    <t>MUSOKI BRIDGET</t>
  </si>
  <si>
    <t>MUTEBI ALLAN</t>
  </si>
  <si>
    <t>MUTONI ANGEL</t>
  </si>
  <si>
    <t>MUTONI YVONNE</t>
  </si>
  <si>
    <t>MUWANGUZI HERMAN</t>
  </si>
  <si>
    <t>NABABIRO IRENE</t>
  </si>
  <si>
    <t>NABADDA FAITH</t>
  </si>
  <si>
    <t>NABAKIIBI MARIA</t>
  </si>
  <si>
    <t>NABATANZI MARIAM</t>
  </si>
  <si>
    <t>NABATANZI RECHEAL</t>
  </si>
  <si>
    <t>NABBALE ROXANA MONALISA</t>
  </si>
  <si>
    <t>NABIMANYA DAPHINE</t>
  </si>
  <si>
    <t>NABIRYO RACHEAL</t>
  </si>
  <si>
    <t>NABULYA GORRETY</t>
  </si>
  <si>
    <t>NABUUMA AISHA</t>
  </si>
  <si>
    <t>NABUYUNGO BRIDGET</t>
  </si>
  <si>
    <t>NABWETEME ESTHER</t>
  </si>
  <si>
    <t>NAGGAYI MARIAM</t>
  </si>
  <si>
    <t>NAHABWE AARON</t>
  </si>
  <si>
    <t>NAKALEMA SHAMIRAH</t>
  </si>
  <si>
    <t>NAKAYAGA CLAIRE</t>
  </si>
  <si>
    <t>NAKAYIKI HAJARAH</t>
  </si>
  <si>
    <t>NAKAYIMA SHADIA</t>
  </si>
  <si>
    <t>NAKAYIWA JOSEPHINE</t>
  </si>
  <si>
    <t>NAKAZIBWE REBECCA</t>
  </si>
  <si>
    <t>NAKIBINGE MALAIKAH</t>
  </si>
  <si>
    <t>NAKIBONEKA CHRISTINE</t>
  </si>
  <si>
    <t>NAKIGULI BENITAR</t>
  </si>
  <si>
    <t>NAKIJOBA RUTH</t>
  </si>
  <si>
    <t>NAKIMBUGWE REHEMA</t>
  </si>
  <si>
    <t>NAKIMBUGWE SWABURA</t>
  </si>
  <si>
    <t>NAKIMERA RESTY</t>
  </si>
  <si>
    <t>NAKIRANDA SANDRAH</t>
  </si>
  <si>
    <t>NAKIRIJJA PHIONAH</t>
  </si>
  <si>
    <t>NAKITEKE DAPHINE</t>
  </si>
  <si>
    <t>NAKITENDE MARIAM</t>
  </si>
  <si>
    <t>NAKITO SAILUNA</t>
  </si>
  <si>
    <t>NAKIWU SYLVIA</t>
  </si>
  <si>
    <t>NAKIYAGA MILLY</t>
  </si>
  <si>
    <t>NAKYANZI CHRISTINE</t>
  </si>
  <si>
    <t>NAKYEJJWE KEZIA SUSAN</t>
  </si>
  <si>
    <t>NAKYEYUNE JUSTINE</t>
  </si>
  <si>
    <t>NALINNYA DINAH</t>
  </si>
  <si>
    <t>NALUBEGA IRENE</t>
  </si>
  <si>
    <t>NALUBWAMA HALIMA NADIA</t>
  </si>
  <si>
    <t>NALUGO NAKYOMU ANN SYLVIA CHRISTINE</t>
  </si>
  <si>
    <t>NALUGO ZUULAIKA</t>
  </si>
  <si>
    <t>NALUGYA MARIA GORRETH</t>
  </si>
  <si>
    <t>NALUKWAGO KEVIN</t>
  </si>
  <si>
    <t>NALUNGA MARGARET</t>
  </si>
  <si>
    <t>NALUWAGGA PRECIOUS</t>
  </si>
  <si>
    <t>NALUWUGE MOUREEN</t>
  </si>
  <si>
    <t>NALUZZA TINAH</t>
  </si>
  <si>
    <t>NALWANGA RASHIDA</t>
  </si>
  <si>
    <t>NALWOGA GERTRUDE</t>
  </si>
  <si>
    <t>NAMAGANDA NISAH</t>
  </si>
  <si>
    <t>NAMAKULA HADIJAH</t>
  </si>
  <si>
    <t>NAMAKULA HASIFAH</t>
  </si>
  <si>
    <t>NAMAKULA MIRRIAM</t>
  </si>
  <si>
    <t>NAMALWA ESTHER</t>
  </si>
  <si>
    <t>NAMARA GRACE</t>
  </si>
  <si>
    <t>NAMATA DEBORAH NORAH</t>
  </si>
  <si>
    <t>NAMATA ELIZABETH</t>
  </si>
  <si>
    <t>NAMATA SARAH</t>
  </si>
  <si>
    <t>NAMATOVU FLORENCE</t>
  </si>
  <si>
    <t>NAMBALA COSTANCE</t>
  </si>
  <si>
    <t>NAMBANJA SANDRA</t>
  </si>
  <si>
    <t>NAMBASA HELLEN</t>
  </si>
  <si>
    <t>NAMBOGO JACENT KAYIIRA</t>
  </si>
  <si>
    <t>NAMIIRO AMINAH</t>
  </si>
  <si>
    <t>NAMIREMBE JENNIFER</t>
  </si>
  <si>
    <t>NAMPIJJA EDITH</t>
  </si>
  <si>
    <t>NAMPIJJA REBECCA</t>
  </si>
  <si>
    <t>NAMPOMBA MADINAH</t>
  </si>
  <si>
    <t>NAMUGERE ESTHER</t>
  </si>
  <si>
    <t>NAMUGENYI PHIONA</t>
  </si>
  <si>
    <t>NAMUKISA HARRIET</t>
  </si>
  <si>
    <t>NAMULINDWA AIDAH</t>
  </si>
  <si>
    <t>NAMUSAAZI AISHA</t>
  </si>
  <si>
    <t>NAMUSOBYA EVELYN MATAMA</t>
  </si>
  <si>
    <t>NAMUSOKE AMINAH</t>
  </si>
  <si>
    <t>NAMUTEBI SIIFAH</t>
  </si>
  <si>
    <t>NAMUYANJA JANE</t>
  </si>
  <si>
    <t>NAMWANJE ALYSHA</t>
  </si>
  <si>
    <t>NAMYALO MASITULLAH</t>
  </si>
  <si>
    <t>NANDUDU ROSE</t>
  </si>
  <si>
    <t>NANFUKA RACHEAL</t>
  </si>
  <si>
    <t>NANFUKA SHAMIM</t>
  </si>
  <si>
    <t>NANGOBI FATUMA</t>
  </si>
  <si>
    <t>NANKABIRWA FLORENCE</t>
  </si>
  <si>
    <t>NANKABIRWA PARVIN</t>
  </si>
  <si>
    <t>NANKYA TEDDY</t>
  </si>
  <si>
    <t>NANSAMBA DOREEN</t>
  </si>
  <si>
    <t>NANSAMBA SUMIYA</t>
  </si>
  <si>
    <t>NANSUBUGA MARY SIGOWA</t>
  </si>
  <si>
    <t>NANTALE BUSHIRAH</t>
  </si>
  <si>
    <t>NANTAMBI MILDRED JESSICA</t>
  </si>
  <si>
    <t>NANTUMBWE IRENE</t>
  </si>
  <si>
    <t>NANTUME JULIET</t>
  </si>
  <si>
    <t>NANYANZI PERUTH</t>
  </si>
  <si>
    <t>NANYONDO ESTER</t>
  </si>
  <si>
    <t>NANYONDO MARY SHANICE</t>
  </si>
  <si>
    <t>NASANGA MWAJUMA</t>
  </si>
  <si>
    <t>NASAZZI GORETTI</t>
  </si>
  <si>
    <t>NASSAKA JOAN SSEREMBA</t>
  </si>
  <si>
    <t>NASSUNA AMINAH</t>
  </si>
  <si>
    <t>NASSUUNA MARIAM</t>
  </si>
  <si>
    <t>NATUKUNDA DAPHINE</t>
  </si>
  <si>
    <t>NATUKUNDA FRIDAY SUSAN</t>
  </si>
  <si>
    <t>NATUKUNDA MOLLY</t>
  </si>
  <si>
    <t>NDAWULA JOSEPH</t>
  </si>
  <si>
    <t>NGABIRE DEBORAH</t>
  </si>
  <si>
    <t>NGIRASE MASARCH</t>
  </si>
  <si>
    <t>NINSIIMA DOREEN</t>
  </si>
  <si>
    <t>NIWAHEREZA CATHERINE</t>
  </si>
  <si>
    <t>DAMALIE NKINZI SSUUNA</t>
  </si>
  <si>
    <t>NSUBUGA FRANCIS KIBERU</t>
  </si>
  <si>
    <t>NTAGANDA FRANCIS</t>
  </si>
  <si>
    <t>NTEGERIZE JUNIOR</t>
  </si>
  <si>
    <t>NUWATEKATEKA ENID</t>
  </si>
  <si>
    <t>NYAKANA ALFRED</t>
  </si>
  <si>
    <t>OKELLO ROGERS</t>
  </si>
  <si>
    <t>OSEGE NICHOLAS</t>
  </si>
  <si>
    <t>OSUNA PATRICK</t>
  </si>
  <si>
    <t>PASCAL TIBEGAYA</t>
  </si>
  <si>
    <t>RATISHA  NANDINYI</t>
  </si>
  <si>
    <t>ROBINAH KUKIRIZA NANVULE</t>
  </si>
  <si>
    <t>ROSE NAMUGGA</t>
  </si>
  <si>
    <t>RUGAMBWA JOHN BOSCO</t>
  </si>
  <si>
    <t>RUKUNDO JANNIFER</t>
  </si>
  <si>
    <t>RUTH NAKIRANDA</t>
  </si>
  <si>
    <t>SAMUEL TUKAMUSHABA</t>
  </si>
  <si>
    <t>SANYU ADELLA</t>
  </si>
  <si>
    <t>SANYU VIOLET SYLIVESTER</t>
  </si>
  <si>
    <t>SHAFIQ TOMUSANGE</t>
  </si>
  <si>
    <t xml:space="preserve">SHUKURU PATRICK </t>
  </si>
  <si>
    <t>SIGOWA GEOFFREY</t>
  </si>
  <si>
    <t>SSALI RONALD</t>
  </si>
  <si>
    <t>SSEBAGGALA FAHAD</t>
  </si>
  <si>
    <t>SSEGIRINYA SIMON</t>
  </si>
  <si>
    <t>SSEKALEGGA ANTONIO</t>
  </si>
  <si>
    <t>SSEKINDI MOSES</t>
  </si>
  <si>
    <t>SSEKITO ANDREW</t>
  </si>
  <si>
    <t>SSEKITO NAKAWOOYA AISHA</t>
  </si>
  <si>
    <t>SSENTONGO RONNIE</t>
  </si>
  <si>
    <t>SSERABIDDE STELLA</t>
  </si>
  <si>
    <t>SSESANGA FRANCIS</t>
  </si>
  <si>
    <t>SSUUNA PETER</t>
  </si>
  <si>
    <t>TEBENKANA DENIS</t>
  </si>
  <si>
    <t>TR KAVUMA STANLEY</t>
  </si>
  <si>
    <t>TUGABIRWE  CAROLYN KURTON</t>
  </si>
  <si>
    <t>TUKAHEBWA CISSY</t>
  </si>
  <si>
    <t>TULINOMUBEZI PROSSY</t>
  </si>
  <si>
    <t>TUMUKUNDE PRIMA</t>
  </si>
  <si>
    <t>TUMUSHABE EVARINE</t>
  </si>
  <si>
    <t>TUMUSIIME CHRISTINE</t>
  </si>
  <si>
    <t>TURYATUNGA DICKENS</t>
  </si>
  <si>
    <t>TUSIIME RYMOND</t>
  </si>
  <si>
    <t>TWETEISE MERON</t>
  </si>
  <si>
    <t>VIANNY LULE</t>
  </si>
  <si>
    <t>VIOLA SABARERA</t>
  </si>
  <si>
    <t>WASEME GLADYS</t>
  </si>
  <si>
    <t>WINSTON ELISHA MUKULU</t>
  </si>
  <si>
    <t>YIGA VICENT</t>
  </si>
  <si>
    <t>ZAINAB MUSA ALI</t>
  </si>
  <si>
    <t>ZALWANGO NASHIBA /ZIDANE ISMAIL ADINAAN</t>
  </si>
  <si>
    <t>NAKIYINGI EDITH NABBOSA</t>
  </si>
  <si>
    <t>NAMPIJJA SANDRA</t>
  </si>
  <si>
    <t>AINEMBABAZI HARRIET</t>
  </si>
  <si>
    <t>HALERA JOHN BAHATI</t>
  </si>
  <si>
    <t>HALERA MIRIAM</t>
  </si>
  <si>
    <t>CORRECT BALANCE AS AT 30TH JAN 2026</t>
  </si>
  <si>
    <t>FEB</t>
  </si>
  <si>
    <t>MARCH</t>
  </si>
  <si>
    <t>APRIL</t>
  </si>
  <si>
    <t>MAY</t>
  </si>
  <si>
    <t>JUNE</t>
  </si>
  <si>
    <t>JULY</t>
  </si>
  <si>
    <t>SEP</t>
  </si>
  <si>
    <t>OCT</t>
  </si>
  <si>
    <t>NOV</t>
  </si>
  <si>
    <t>DEC</t>
  </si>
  <si>
    <t>TOTAL</t>
  </si>
  <si>
    <t>SHARES</t>
  </si>
  <si>
    <t>ADMIN</t>
  </si>
  <si>
    <t>DIFFERENCE</t>
  </si>
  <si>
    <t>NO OF SHARE</t>
  </si>
  <si>
    <t>JAN</t>
  </si>
  <si>
    <t>MUGOMBA SIMON</t>
  </si>
  <si>
    <t>AUG</t>
  </si>
  <si>
    <t>WITHDRAWABLE SAVING</t>
  </si>
  <si>
    <t>MANDATORY</t>
  </si>
  <si>
    <t>NAME</t>
  </si>
  <si>
    <t>NO</t>
  </si>
  <si>
    <t>AMOUNT</t>
  </si>
  <si>
    <t>TEL.NO</t>
  </si>
  <si>
    <t>P/MODE</t>
  </si>
  <si>
    <t>MM</t>
  </si>
  <si>
    <t>ADUTTO JALIYA</t>
  </si>
  <si>
    <t xml:space="preserve">BATUUKA MAUREEN </t>
  </si>
  <si>
    <t>PROSSY TULINOMUBEZI</t>
  </si>
  <si>
    <t>ALINDA AGNES/TUMWESIGYE JOSEPH</t>
  </si>
  <si>
    <t>NAMBOGO JACENT</t>
  </si>
  <si>
    <t>NAKAWOOYA SSEKITO AISHA</t>
  </si>
  <si>
    <t>NAMPIJJA REBECCA/NAMUBIRU ZAMEL</t>
  </si>
  <si>
    <t>NATUKUNDA FRIDAY SUZAN</t>
  </si>
  <si>
    <t>CASH</t>
  </si>
  <si>
    <t>MUTALA ARNOLD</t>
  </si>
  <si>
    <t>RATISHA NANDINYI</t>
  </si>
  <si>
    <t>AKANDINDA SUZAN</t>
  </si>
  <si>
    <t>ATUKWATSE SANDRA</t>
  </si>
  <si>
    <t>MOLLY NATUKUNDA</t>
  </si>
  <si>
    <t>AMONY CHALITY</t>
  </si>
  <si>
    <t>ASIIMWE ALLIA</t>
  </si>
  <si>
    <t>NANKUNDA ADURINE</t>
  </si>
  <si>
    <t>CONFIRMED LIST OF MEMBERS ATTENDING FARM LAUNCH</t>
  </si>
  <si>
    <t>KICONCO / JESCA NINIYA</t>
  </si>
  <si>
    <t>JB MUGERWA</t>
  </si>
  <si>
    <t>MILDRED NANTAMBI (NAMWANJE PHIONA)</t>
  </si>
  <si>
    <t xml:space="preserve">MR TURYATUNGA </t>
  </si>
  <si>
    <t>MRS TURYATUNGA</t>
  </si>
  <si>
    <t>BUSIGYE ADURINE (NANTABA MARTHA)</t>
  </si>
  <si>
    <t>NABATANZI MARRIAM</t>
  </si>
  <si>
    <t>DAMALI NKINZI SSUUNA</t>
  </si>
  <si>
    <t>MARY MWISAAKA</t>
  </si>
  <si>
    <t>RASHIDA NALWANGA</t>
  </si>
  <si>
    <t>ENOCK SON TO SYLIVIA</t>
  </si>
  <si>
    <t>NAKIWU SYLIVIA</t>
  </si>
  <si>
    <t>NAMUKISA HARRIET (IVAN K)</t>
  </si>
  <si>
    <t>NAMUKISA HARRIET (PHIONAH N)</t>
  </si>
  <si>
    <t>MACKLINE AINEMUKAMA (ATWEBEMBERE. V)</t>
  </si>
  <si>
    <t>BATESAKI CHESTER (ELIZABETH KAGEZI)</t>
  </si>
  <si>
    <t>NSUBUGA FRANCIS</t>
  </si>
  <si>
    <t>NAMUGGA ROSE</t>
  </si>
  <si>
    <t>TUMUSHABE EVARINE (TUSIIME ANNET)</t>
  </si>
  <si>
    <t>OBED BEN</t>
  </si>
  <si>
    <t xml:space="preserve">TRANSPORT     </t>
  </si>
  <si>
    <t>TURYATUNGA DICKENS FRIEND</t>
  </si>
  <si>
    <t>MILDRED NANTAMBI (SON)</t>
  </si>
  <si>
    <t>NANTAYI LUKIAH (HEILEY MAYLIN)</t>
  </si>
  <si>
    <t>MRS MUKULU</t>
  </si>
  <si>
    <t>MR MUKULU</t>
  </si>
  <si>
    <t>MORE RICE</t>
  </si>
  <si>
    <t>MR MUKISA</t>
  </si>
  <si>
    <t>MRS MUKISA</t>
  </si>
  <si>
    <t>TRANSPORT MORE TSHIRTS</t>
  </si>
  <si>
    <t>MORE TSHIRTS</t>
  </si>
  <si>
    <t>ATUGONZA DOREEN (NATUKUNDA DAPHINE)</t>
  </si>
  <si>
    <t>FAT GUY</t>
  </si>
  <si>
    <t>TRANSPORT BAL</t>
  </si>
  <si>
    <t>COOKS</t>
  </si>
  <si>
    <t>CHAIR PERSON</t>
  </si>
  <si>
    <t>CEO (PURSHASED DRINKS)</t>
  </si>
  <si>
    <t>JB GUYS</t>
  </si>
  <si>
    <t>ASHABA SHILLAN</t>
  </si>
  <si>
    <t>NABANGI C0NLAD</t>
  </si>
  <si>
    <t>NAMULINDWA FLAVIA</t>
  </si>
  <si>
    <t>TOTAL COLLECTION FARM LAUNCH</t>
  </si>
  <si>
    <t>BALANCE</t>
  </si>
  <si>
    <t>TOTAL EXPENSE</t>
  </si>
  <si>
    <t>TRANSPORT     DEPOSIT</t>
  </si>
  <si>
    <t>CEO (PURCHASED FOOD &amp; OTHER ITEMS)</t>
  </si>
  <si>
    <t>FOOD FIRST BANCH</t>
  </si>
  <si>
    <t>T/SHIRT FIRST BANCH</t>
  </si>
  <si>
    <t>TRANPORT  BODA 0N THE LAUNCH DAY</t>
  </si>
  <si>
    <t>JBS TEM100 SACCO PIONEER MEMBERS.</t>
  </si>
  <si>
    <t>SN</t>
  </si>
  <si>
    <t>QTR 1</t>
  </si>
  <si>
    <t>ADMIN FEES</t>
  </si>
  <si>
    <t>ASHABA SHEILLA  / NABACHWA AGENES</t>
  </si>
  <si>
    <t>BATAMULIZA JOVIA /BAMULIGIRE ANNET</t>
  </si>
  <si>
    <t>JB HALERA</t>
  </si>
  <si>
    <t>KABAALE GEOFFREY MWESIGWA</t>
  </si>
  <si>
    <t>MIRRIAM HALERA</t>
  </si>
  <si>
    <t>MUKULU WINSTON ELISHA</t>
  </si>
  <si>
    <t>-</t>
  </si>
  <si>
    <t>NAMAKULA HASIFA</t>
  </si>
  <si>
    <t xml:space="preserve">NAMBOGO JACENT KAYIIRA </t>
  </si>
  <si>
    <t>NANTALE BUSHIRA</t>
  </si>
  <si>
    <t>SAM TUKAMUSHABA</t>
  </si>
  <si>
    <t>SIMON SEGIRINYA</t>
  </si>
  <si>
    <t>SIGOWA GEOFREY</t>
  </si>
  <si>
    <t>ASIIMWE GLORIA</t>
  </si>
  <si>
    <t>TUSABA JOAN</t>
  </si>
  <si>
    <t>NETEESE SUMAYA</t>
  </si>
  <si>
    <t>NDAGIRE RECHEAL</t>
  </si>
  <si>
    <t>KYALIGONZA FLAVIA</t>
  </si>
  <si>
    <t>KANTONO SARAH MERCY</t>
  </si>
  <si>
    <t>LUBEGA FRANCIS</t>
  </si>
  <si>
    <t>WAFULA ANDREW</t>
  </si>
  <si>
    <t>ISIMA MBAJJA</t>
  </si>
  <si>
    <t>TOTALS</t>
  </si>
  <si>
    <t>=</t>
  </si>
  <si>
    <t>KAMANZI DANIEL RWAMUGWIZA</t>
  </si>
  <si>
    <t>MUKISA JEMIMAH FAVOUR</t>
  </si>
  <si>
    <t>NAMUSISI ROSE</t>
  </si>
  <si>
    <t>NAMAALWA ESTHER</t>
  </si>
  <si>
    <t>NALUBEGA PATRICIA</t>
  </si>
  <si>
    <t>NAKYEJJWE KEZIA SUZAN</t>
  </si>
  <si>
    <t>MATOVU ABDUL MUWONGE</t>
  </si>
  <si>
    <t>JUMA MUHAMMAD</t>
  </si>
  <si>
    <t>NON CASH TRANSFERS</t>
  </si>
  <si>
    <t>HALERE JAB</t>
  </si>
  <si>
    <t>MIRIAM</t>
  </si>
  <si>
    <t>IBRAHIM</t>
  </si>
  <si>
    <t>BANK</t>
  </si>
  <si>
    <t>BANK TO 7/1/2026</t>
  </si>
  <si>
    <t>BANK TO 05/03/2026</t>
  </si>
  <si>
    <t>JUNE PHASE</t>
  </si>
  <si>
    <t>TOTAL CASH RECIVED</t>
  </si>
  <si>
    <t>BANKED</t>
  </si>
  <si>
    <t>OTHER CREDITS</t>
  </si>
  <si>
    <t>KIMED REFUND</t>
  </si>
  <si>
    <t>MOBILE MONEY</t>
  </si>
  <si>
    <t>NET DIFFERENCE</t>
  </si>
  <si>
    <t>KATUSABE JAMILLAH</t>
  </si>
  <si>
    <t>KYOLABA ESTHER</t>
  </si>
  <si>
    <t>REQUESTED</t>
  </si>
  <si>
    <t>MUTYABA IRENE GRACIOUS</t>
  </si>
  <si>
    <t>NABULYA ALISHA</t>
  </si>
  <si>
    <t>NAKAJIGO JULIET</t>
  </si>
  <si>
    <t>GUMISIRIZA JUSTUS</t>
  </si>
  <si>
    <t>NAMUGGA ROSE &amp; MUGOMBA SIMON</t>
  </si>
  <si>
    <t>KOBUSINGE JOYCE &amp; NATUKUNDA DAPHINE</t>
  </si>
  <si>
    <t>ANDREW SSEKITO &amp; MUGISHA KAITESI RACHEAL</t>
  </si>
  <si>
    <t>MUGISHA SAMUEL</t>
  </si>
  <si>
    <t>NAKIBIRANGO IRENE</t>
  </si>
  <si>
    <t>MUTUWA GLORIA</t>
  </si>
  <si>
    <t>SSENDIGE YAHAYA</t>
  </si>
  <si>
    <t>SEBUNYA BASHIR</t>
  </si>
  <si>
    <t>NAKIITO BUSHIRAH</t>
  </si>
  <si>
    <t>ARIHO NICHOLAS</t>
  </si>
  <si>
    <t>MARGARET BIRUNGI</t>
  </si>
  <si>
    <t>DEZZIE MBOGGA</t>
  </si>
  <si>
    <t>KASEMIRE TEOPISTA</t>
  </si>
  <si>
    <t>BYARUHANGA SAM</t>
  </si>
  <si>
    <t>WAKIBUGU TIMOTHY</t>
  </si>
  <si>
    <t>KAMBAHO NARASI ANYIJUKA</t>
  </si>
  <si>
    <t>SSEMWANGA EMMANUEL</t>
  </si>
  <si>
    <t>NASSOLO AGNES</t>
  </si>
  <si>
    <t>LUTAMAGUZI AKRAM</t>
  </si>
  <si>
    <t>NYAKATO JESCA</t>
  </si>
  <si>
    <t>NAMULI SHAKIRAH</t>
  </si>
  <si>
    <t>NAMUKISA JUSTINE</t>
  </si>
  <si>
    <t>VICTOR KIPRUTO</t>
  </si>
  <si>
    <t>NAMUSISI CLARE</t>
  </si>
  <si>
    <t xml:space="preserve">AGABA DENNIS </t>
  </si>
  <si>
    <t>NAHWERA ANGELLA</t>
  </si>
  <si>
    <t>NANKYA SOLOMEH NAGADYA</t>
  </si>
  <si>
    <t>NABASENYA PROSSY</t>
  </si>
  <si>
    <t>NASSAAZI AMINAH</t>
  </si>
  <si>
    <t>LUBEGA DENIS</t>
  </si>
  <si>
    <t>BIRUNGI ZAWEDE</t>
  </si>
  <si>
    <t>NANKYA JOANITAH</t>
  </si>
  <si>
    <t>KAGODA HAIRATI</t>
  </si>
  <si>
    <t>SSEGIRINYA ROBERT DALTON</t>
  </si>
  <si>
    <t>KYOZIRA WILLIAM WILBERFORCE</t>
  </si>
  <si>
    <t>SSEMWOGERERE SHADRACK</t>
  </si>
  <si>
    <t>NAMBOGGA ROBINAH</t>
  </si>
  <si>
    <t xml:space="preserve">NASANGA MWAJUMA </t>
  </si>
  <si>
    <t>NAMPIIMA PATRICIA MAATO</t>
  </si>
  <si>
    <t>TURYAMUHAKI BRIAN</t>
  </si>
  <si>
    <t>AKAMPURIRA LEAH</t>
  </si>
  <si>
    <t>NTULUME KENNETH</t>
  </si>
  <si>
    <t>TURYAMUSHANGA BENON</t>
  </si>
  <si>
    <t>NANKUNDA ANNET</t>
  </si>
  <si>
    <t>MICKDAD NSAMBA</t>
  </si>
  <si>
    <t>NANTALE TEDDY</t>
  </si>
  <si>
    <t>KOMUHANGI ELIZABETH</t>
  </si>
  <si>
    <t>KISAKYE ISRAEL EZRA</t>
  </si>
  <si>
    <t>AGUTI DORCUS</t>
  </si>
  <si>
    <t>NAKIJOBA JOSEPHINE</t>
  </si>
  <si>
    <t>KIDASA MILON</t>
  </si>
  <si>
    <t>SSEBAMALA RAYMOND</t>
  </si>
  <si>
    <t>ATIMBA RICHARD</t>
  </si>
  <si>
    <t>AKOTH GETRUDE</t>
  </si>
  <si>
    <t>KITAKA SOLOMON</t>
  </si>
  <si>
    <t>NEHIMAH NAKAWUKI INFOTRUST</t>
  </si>
  <si>
    <t>KAFUMBE SULAIMAN</t>
  </si>
  <si>
    <t>NASSEJJE OLIVIA</t>
  </si>
  <si>
    <t>KINTU JOSEPH</t>
  </si>
  <si>
    <t>ORISHABA RASHEEL</t>
  </si>
  <si>
    <t>DANIEL ISIRET</t>
  </si>
  <si>
    <t>NASSIMBWA MOUREEN</t>
  </si>
  <si>
    <t>NANYANZI MARIAM</t>
  </si>
  <si>
    <t>NABAGGALA AISHA</t>
  </si>
  <si>
    <t>NAMUYOMBA FLAVIA</t>
  </si>
  <si>
    <t>NAKUBULWA SHAMIM</t>
  </si>
  <si>
    <t>NASEJJE PENINNAH MUSASIZI</t>
  </si>
  <si>
    <t>NANGENDO MARY</t>
  </si>
  <si>
    <t>KAWEESA JOHNBOSCO</t>
  </si>
  <si>
    <t>NABAKOOZA PAULINE OLGA</t>
  </si>
  <si>
    <t>NAKABUGO MARY JULIET</t>
  </si>
  <si>
    <t>NAKABUGO BRIDGET</t>
  </si>
  <si>
    <t>NALULE SALIMA</t>
  </si>
  <si>
    <t>MUYAMA SANDRA</t>
  </si>
  <si>
    <t>KABAGAMBE NICHOLAS</t>
  </si>
  <si>
    <t>TUSINGWIRE JOLLY</t>
  </si>
  <si>
    <t>ALINITWE ALLEN</t>
  </si>
  <si>
    <t>TUGUME UTHMAN</t>
  </si>
  <si>
    <t>NAKAWESA RAMULAH</t>
  </si>
  <si>
    <t>NAKAWUKI GLADYS</t>
  </si>
  <si>
    <t>MBABAZI IRENE</t>
  </si>
  <si>
    <t>AKANKUNDA LINUS</t>
  </si>
  <si>
    <t>NAKITENDE MOUREEN</t>
  </si>
  <si>
    <t>NANKINGA FARIDAH</t>
  </si>
  <si>
    <t>NAKITENDE FATUMAH</t>
  </si>
  <si>
    <t>NALUBEGA WINNIE</t>
  </si>
  <si>
    <t>NDAGIRE JUSTINE</t>
  </si>
  <si>
    <t>KYOMUKAMA MARION</t>
  </si>
  <si>
    <t>NAMUJJUZI LYDIA</t>
  </si>
  <si>
    <t>KAYESU BEATRICE</t>
  </si>
  <si>
    <t>KOMUGISHA PRIMA</t>
  </si>
  <si>
    <t xml:space="preserve">KAVUMA LIVINGSTONE </t>
  </si>
  <si>
    <t>TAMALE FRANK</t>
  </si>
  <si>
    <t>NAMBATYA SHARUWAH</t>
  </si>
  <si>
    <t>TURYASINGURA RUTH</t>
  </si>
  <si>
    <t>NAMATOVU SHIRAT</t>
  </si>
  <si>
    <t>NSAMBA LAWRENCE BENZER</t>
  </si>
  <si>
    <t>NANYANZI REHEMA</t>
  </si>
  <si>
    <t>KYOFUNOYAGALA HARRIET NAKALEMA</t>
  </si>
  <si>
    <t>NANGOBI LOVISA</t>
  </si>
  <si>
    <t>NANKULA SAIDA</t>
  </si>
  <si>
    <t>MULONDO NAJIB</t>
  </si>
  <si>
    <t>KYOSIIMIRE PATIENCE</t>
  </si>
  <si>
    <t>DHATEMWA AGNES</t>
  </si>
  <si>
    <t>KYOKUSIIMA RONET</t>
  </si>
  <si>
    <t>NABYONGA ZAINABU</t>
  </si>
  <si>
    <t>MUKOYA REBECCA</t>
  </si>
  <si>
    <t>KWAGALA GLORIA</t>
  </si>
  <si>
    <t>KATUSABE JANE</t>
  </si>
  <si>
    <t>NANTUME DAISY ANGEL</t>
  </si>
  <si>
    <t>LUNKUSE RUTH</t>
  </si>
  <si>
    <t>NAKAYIWA SWABURAH</t>
  </si>
  <si>
    <t>KATENDE BEN LUYIMA</t>
  </si>
  <si>
    <t>MUTABAZI DAVID</t>
  </si>
  <si>
    <t xml:space="preserve">PHASE THREE JBS TEAM 100 INVESTMENT CLUB </t>
  </si>
  <si>
    <t>CATEGORY</t>
  </si>
  <si>
    <t>NEW FARMER</t>
  </si>
  <si>
    <t>PAID</t>
  </si>
  <si>
    <t>AMPAMYA VASTA KIRABO</t>
  </si>
  <si>
    <t>NAKIMWERO PROSSY</t>
  </si>
  <si>
    <t>TEGIREH RITAH</t>
  </si>
  <si>
    <t>KWARISIIMA LEAH</t>
  </si>
  <si>
    <t>MUSIKA BRIGHTON</t>
  </si>
  <si>
    <t>ESTHER NANYONDO</t>
  </si>
  <si>
    <t>SERUYANGE ELVIS</t>
  </si>
  <si>
    <t xml:space="preserve">NAKAYAGA CLAIRE </t>
  </si>
  <si>
    <t>MONEY MAKER</t>
  </si>
  <si>
    <t xml:space="preserve">NAMAKULA MIRRIAM </t>
  </si>
  <si>
    <t>NASSAAZI AMINAH &amp; NAKITENDE MARIAM</t>
  </si>
  <si>
    <t xml:space="preserve">HUZAIFAH EPWATA &amp; NANTAMBI MILDRED </t>
  </si>
  <si>
    <t>MUGISHA AARON</t>
  </si>
  <si>
    <t>ESAETE MARY EMMACULATE</t>
  </si>
  <si>
    <t>BISIRIKIRWA JOWRIYAH</t>
  </si>
  <si>
    <t>BAMULIGIRE ANNET</t>
  </si>
  <si>
    <t>MONEY &amp; FARMER</t>
  </si>
  <si>
    <t>NANTUMBWE HANIFAH</t>
  </si>
  <si>
    <t>NANTUMBWE HANIFAH &amp; GLORIA MUTUWA</t>
  </si>
  <si>
    <t>SSEMANDA ANDREW</t>
  </si>
  <si>
    <t>AINEMBABAZI NINAH</t>
  </si>
  <si>
    <t>TWINAMATSIKO DARIUS</t>
  </si>
  <si>
    <t>NABUUMA AISHA &amp; TAMALE FRANK</t>
  </si>
  <si>
    <t>NUWAGABA DEUS &amp; MWESIGWA KENNETH</t>
  </si>
  <si>
    <t>NUWAGABA DEUS</t>
  </si>
  <si>
    <t>MWESIGWA KENNETH</t>
  </si>
  <si>
    <t>MUSIIME ROSE</t>
  </si>
  <si>
    <t>NAMAKULA ROSETTE MAGEZI</t>
  </si>
  <si>
    <t>KATUMBA ISAAC RAHIM SSALI</t>
  </si>
  <si>
    <t>SSALI MUSTAPHER</t>
  </si>
  <si>
    <t>MUTEBI BRIAN</t>
  </si>
  <si>
    <t>NANYONJO AFISAH</t>
  </si>
  <si>
    <t>NANKINGA FARIDAH &amp; TWINAMATSIKO DARIUS</t>
  </si>
  <si>
    <t>BUSINGYE MONICA</t>
  </si>
  <si>
    <t>NAMUKUVE JOWERIA</t>
  </si>
  <si>
    <t>NAMIREMBE SAUDA</t>
  </si>
  <si>
    <t>TURYATUNGA FELEX</t>
  </si>
  <si>
    <t>DDUMBA DERICK</t>
  </si>
  <si>
    <t>NAKASSAGA MARY BRENDA</t>
  </si>
  <si>
    <t>AKECH LINDA SUZAN</t>
  </si>
  <si>
    <t>YIGA WILSON KIYA</t>
  </si>
  <si>
    <t>NSAMBA MOSES</t>
  </si>
  <si>
    <t>YUDA MIGADDE</t>
  </si>
  <si>
    <t>KATUSHABE JAMILLAH ADHIERI</t>
  </si>
  <si>
    <t>NTAMBI RICHARD</t>
  </si>
  <si>
    <t>SSEBIDDE CHARLES</t>
  </si>
  <si>
    <t>NAKAYIMA VANESSA</t>
  </si>
  <si>
    <t>AJORE EVERLYNE</t>
  </si>
  <si>
    <t>Akandinda Susan withdwew her Membership</t>
  </si>
  <si>
    <t>NB.</t>
  </si>
  <si>
    <t>YUDA MIGADDE &amp; MARIAM KIBOWA</t>
  </si>
  <si>
    <t>KYASIMMIRE WINNIE</t>
  </si>
  <si>
    <t>MBABAZI AFUWA</t>
  </si>
  <si>
    <t>NABYONGA ZAINAB &amp; RUKUNDO JANNIFER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</si>
</sst>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u/>
      <sz val="16"/>
      <name val="Calibri"/>
      <family val="2"/>
      <scheme val="minor"/>
    </font>
    <font>
      <u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3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24">
    <xf numFmtId="0" fontId="0" fillId="0" borderId="0" xfId="0"/>
    <xf numFmtId="0" fontId="4" fillId="2" borderId="1" xfId="0" applyFont="1" applyFill="1" applyBorder="1"/>
    <xf numFmtId="41" fontId="4" fillId="2" borderId="1" xfId="2" applyFont="1" applyFill="1" applyBorder="1" applyAlignment="1"/>
    <xf numFmtId="41" fontId="4" fillId="2" borderId="1" xfId="2" applyFont="1" applyFill="1" applyBorder="1"/>
    <xf numFmtId="0" fontId="4" fillId="2" borderId="1" xfId="2" applyNumberFormat="1" applyFont="1" applyFill="1" applyBorder="1"/>
    <xf numFmtId="0" fontId="5" fillId="2" borderId="1" xfId="0" applyFont="1" applyFill="1" applyBorder="1"/>
    <xf numFmtId="41" fontId="4" fillId="2" borderId="1" xfId="0" applyNumberFormat="1" applyFont="1" applyFill="1" applyBorder="1"/>
    <xf numFmtId="0" fontId="7" fillId="2" borderId="0" xfId="0" applyFont="1" applyFill="1"/>
    <xf numFmtId="41" fontId="4" fillId="2" borderId="1" xfId="2" applyFont="1" applyFill="1" applyBorder="1" applyAlignment="1">
      <alignment horizontal="center"/>
    </xf>
    <xf numFmtId="41" fontId="4" fillId="2" borderId="1" xfId="2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41" fontId="7" fillId="2" borderId="1" xfId="0" applyNumberFormat="1" applyFont="1" applyFill="1" applyBorder="1"/>
    <xf numFmtId="165" fontId="4" fillId="2" borderId="1" xfId="1" applyNumberFormat="1" applyFont="1" applyFill="1" applyBorder="1"/>
    <xf numFmtId="165" fontId="7" fillId="2" borderId="0" xfId="1" applyNumberFormat="1" applyFont="1" applyFill="1"/>
    <xf numFmtId="165" fontId="7" fillId="2" borderId="0" xfId="1" applyNumberFormat="1" applyFont="1" applyFill="1" applyBorder="1"/>
    <xf numFmtId="0" fontId="4" fillId="2" borderId="0" xfId="0" applyFont="1" applyFill="1"/>
    <xf numFmtId="165" fontId="4" fillId="2" borderId="0" xfId="1" applyNumberFormat="1" applyFont="1" applyFill="1" applyBorder="1"/>
    <xf numFmtId="41" fontId="5" fillId="2" borderId="0" xfId="2" applyFont="1" applyFill="1" applyBorder="1" applyAlignment="1">
      <alignment horizontal="center"/>
    </xf>
    <xf numFmtId="1" fontId="5" fillId="2" borderId="0" xfId="2" applyNumberFormat="1" applyFont="1" applyFill="1" applyBorder="1" applyAlignment="1">
      <alignment horizontal="center"/>
    </xf>
    <xf numFmtId="165" fontId="5" fillId="2" borderId="0" xfId="1" applyNumberFormat="1" applyFont="1" applyFill="1" applyBorder="1" applyAlignment="1">
      <alignment horizontal="center"/>
    </xf>
    <xf numFmtId="165" fontId="8" fillId="2" borderId="0" xfId="0" applyNumberFormat="1" applyFont="1" applyFill="1"/>
    <xf numFmtId="41" fontId="7" fillId="2" borderId="0" xfId="0" applyNumberFormat="1" applyFont="1" applyFill="1"/>
    <xf numFmtId="165" fontId="7" fillId="2" borderId="1" xfId="0" applyNumberFormat="1" applyFont="1" applyFill="1" applyBorder="1"/>
    <xf numFmtId="41" fontId="11" fillId="2" borderId="0" xfId="2" applyFont="1" applyFill="1"/>
    <xf numFmtId="165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0" fillId="0" borderId="1" xfId="0" applyBorder="1"/>
    <xf numFmtId="41" fontId="0" fillId="0" borderId="1" xfId="2" applyFont="1" applyBorder="1"/>
    <xf numFmtId="1" fontId="0" fillId="0" borderId="1" xfId="0" applyNumberFormat="1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/>
    </xf>
    <xf numFmtId="0" fontId="0" fillId="2" borderId="1" xfId="0" applyFill="1" applyBorder="1"/>
    <xf numFmtId="41" fontId="0" fillId="2" borderId="1" xfId="2" applyFont="1" applyFill="1" applyBorder="1"/>
    <xf numFmtId="0" fontId="0" fillId="2" borderId="0" xfId="0" applyFill="1"/>
    <xf numFmtId="0" fontId="0" fillId="0" borderId="4" xfId="0" applyBorder="1"/>
    <xf numFmtId="0" fontId="0" fillId="0" borderId="1" xfId="0" applyBorder="1" applyAlignment="1">
      <alignment horizontal="right"/>
    </xf>
    <xf numFmtId="41" fontId="0" fillId="0" borderId="1" xfId="0" applyNumberFormat="1" applyBorder="1"/>
    <xf numFmtId="41" fontId="15" fillId="0" borderId="1" xfId="0" applyNumberFormat="1" applyFont="1" applyBorder="1"/>
    <xf numFmtId="41" fontId="14" fillId="0" borderId="1" xfId="0" applyNumberFormat="1" applyFont="1" applyBorder="1"/>
    <xf numFmtId="41" fontId="16" fillId="2" borderId="1" xfId="2" applyFont="1" applyFill="1" applyBorder="1"/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/>
    <xf numFmtId="0" fontId="20" fillId="2" borderId="1" xfId="0" applyFont="1" applyFill="1" applyBorder="1"/>
    <xf numFmtId="165" fontId="19" fillId="2" borderId="1" xfId="1" applyNumberFormat="1" applyFont="1" applyFill="1" applyBorder="1"/>
    <xf numFmtId="0" fontId="21" fillId="2" borderId="1" xfId="0" applyFont="1" applyFill="1" applyBorder="1"/>
    <xf numFmtId="165" fontId="21" fillId="2" borderId="1" xfId="1" applyNumberFormat="1" applyFont="1" applyFill="1" applyBorder="1"/>
    <xf numFmtId="165" fontId="14" fillId="2" borderId="1" xfId="1" applyNumberFormat="1" applyFont="1" applyFill="1" applyBorder="1"/>
    <xf numFmtId="0" fontId="22" fillId="2" borderId="1" xfId="0" applyFont="1" applyFill="1" applyBorder="1"/>
    <xf numFmtId="41" fontId="11" fillId="2" borderId="1" xfId="2" applyFont="1" applyFill="1" applyBorder="1"/>
    <xf numFmtId="0" fontId="12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1" fillId="2" borderId="1" xfId="0" applyFont="1" applyFill="1" applyBorder="1"/>
    <xf numFmtId="0" fontId="7" fillId="2" borderId="1" xfId="0" applyFont="1" applyFill="1" applyBorder="1" applyAlignment="1">
      <alignment vertical="center"/>
    </xf>
    <xf numFmtId="1" fontId="4" fillId="2" borderId="1" xfId="2" applyNumberFormat="1" applyFont="1" applyFill="1" applyBorder="1" applyAlignment="1">
      <alignment horizontal="center"/>
    </xf>
    <xf numFmtId="165" fontId="7" fillId="2" borderId="1" xfId="1" applyNumberFormat="1" applyFont="1" applyFill="1" applyBorder="1"/>
    <xf numFmtId="0" fontId="23" fillId="2" borderId="1" xfId="0" applyFont="1" applyFill="1" applyBorder="1"/>
    <xf numFmtId="165" fontId="23" fillId="2" borderId="1" xfId="1" applyNumberFormat="1" applyFont="1" applyFill="1" applyBorder="1"/>
    <xf numFmtId="41" fontId="23" fillId="2" borderId="1" xfId="2" applyFont="1" applyFill="1" applyBorder="1" applyAlignment="1">
      <alignment horizontal="center"/>
    </xf>
    <xf numFmtId="165" fontId="23" fillId="2" borderId="1" xfId="1" applyNumberFormat="1" applyFont="1" applyFill="1" applyBorder="1" applyAlignment="1">
      <alignment horizontal="center"/>
    </xf>
    <xf numFmtId="1" fontId="23" fillId="2" borderId="1" xfId="2" applyNumberFormat="1" applyFont="1" applyFill="1" applyBorder="1" applyAlignment="1">
      <alignment horizontal="center"/>
    </xf>
    <xf numFmtId="165" fontId="4" fillId="2" borderId="1" xfId="0" applyNumberFormat="1" applyFont="1" applyFill="1" applyBorder="1"/>
    <xf numFmtId="165" fontId="24" fillId="2" borderId="1" xfId="1" applyNumberFormat="1" applyFont="1" applyFill="1" applyBorder="1"/>
    <xf numFmtId="165" fontId="7" fillId="2" borderId="3" xfId="1" applyNumberFormat="1" applyFont="1" applyFill="1" applyBorder="1"/>
    <xf numFmtId="165" fontId="25" fillId="2" borderId="6" xfId="1" applyNumberFormat="1" applyFont="1" applyFill="1" applyBorder="1"/>
    <xf numFmtId="0" fontId="23" fillId="3" borderId="1" xfId="0" applyFont="1" applyFill="1" applyBorder="1"/>
    <xf numFmtId="165" fontId="23" fillId="3" borderId="1" xfId="1" applyNumberFormat="1" applyFont="1" applyFill="1" applyBorder="1"/>
    <xf numFmtId="0" fontId="26" fillId="2" borderId="1" xfId="0" applyFont="1" applyFill="1" applyBorder="1"/>
    <xf numFmtId="165" fontId="26" fillId="2" borderId="1" xfId="1" applyNumberFormat="1" applyFont="1" applyFill="1" applyBorder="1"/>
    <xf numFmtId="0" fontId="12" fillId="2" borderId="1" xfId="0" applyFont="1" applyFill="1" applyBorder="1" applyAlignment="1">
      <alignment horizontal="center"/>
    </xf>
    <xf numFmtId="41" fontId="0" fillId="2" borderId="0" xfId="2" applyFont="1" applyFill="1"/>
    <xf numFmtId="165" fontId="4" fillId="2" borderId="1" xfId="1" applyNumberFormat="1" applyFont="1" applyFill="1" applyBorder="1" applyAlignment="1">
      <alignment horizontal="right"/>
    </xf>
    <xf numFmtId="1" fontId="27" fillId="2" borderId="1" xfId="0" applyNumberFormat="1" applyFont="1" applyFill="1" applyBorder="1"/>
    <xf numFmtId="1" fontId="19" fillId="2" borderId="1" xfId="0" applyNumberFormat="1" applyFont="1" applyFill="1" applyBorder="1"/>
    <xf numFmtId="165" fontId="0" fillId="2" borderId="0" xfId="0" applyNumberFormat="1" applyFill="1"/>
    <xf numFmtId="165" fontId="22" fillId="2" borderId="1" xfId="1" applyNumberFormat="1" applyFont="1" applyFill="1" applyBorder="1"/>
    <xf numFmtId="41" fontId="22" fillId="2" borderId="1" xfId="2" applyFont="1" applyFill="1" applyBorder="1"/>
    <xf numFmtId="165" fontId="22" fillId="2" borderId="1" xfId="1" applyNumberFormat="1" applyFont="1" applyFill="1" applyBorder="1" applyAlignment="1">
      <alignment horizontal="center"/>
    </xf>
    <xf numFmtId="165" fontId="1" fillId="2" borderId="1" xfId="0" applyNumberFormat="1" applyFont="1" applyFill="1" applyBorder="1"/>
    <xf numFmtId="165" fontId="4" fillId="2" borderId="1" xfId="1" applyNumberFormat="1" applyFont="1" applyFill="1" applyBorder="1" applyAlignment="1">
      <alignment vertical="center"/>
    </xf>
    <xf numFmtId="165" fontId="13" fillId="2" borderId="1" xfId="1" applyNumberFormat="1" applyFont="1" applyFill="1" applyBorder="1" applyAlignment="1">
      <alignment horizontal="center"/>
    </xf>
    <xf numFmtId="41" fontId="22" fillId="2" borderId="1" xfId="2" applyFont="1" applyFill="1" applyBorder="1" applyAlignment="1"/>
    <xf numFmtId="0" fontId="1" fillId="2" borderId="0" xfId="0" applyFont="1" applyFill="1"/>
    <xf numFmtId="0" fontId="4" fillId="2" borderId="2" xfId="0" applyFont="1" applyFill="1" applyBorder="1"/>
    <xf numFmtId="165" fontId="4" fillId="2" borderId="2" xfId="1" applyNumberFormat="1" applyFont="1" applyFill="1" applyBorder="1"/>
    <xf numFmtId="41" fontId="4" fillId="2" borderId="2" xfId="2" applyFont="1" applyFill="1" applyBorder="1" applyAlignment="1"/>
    <xf numFmtId="41" fontId="4" fillId="2" borderId="2" xfId="2" applyFont="1" applyFill="1" applyBorder="1"/>
    <xf numFmtId="0" fontId="4" fillId="2" borderId="3" xfId="0" applyFont="1" applyFill="1" applyBorder="1"/>
    <xf numFmtId="165" fontId="4" fillId="2" borderId="3" xfId="1" applyNumberFormat="1" applyFont="1" applyFill="1" applyBorder="1"/>
    <xf numFmtId="41" fontId="4" fillId="2" borderId="3" xfId="2" applyFont="1" applyFill="1" applyBorder="1" applyAlignment="1"/>
    <xf numFmtId="41" fontId="4" fillId="2" borderId="3" xfId="2" applyFont="1" applyFill="1" applyBorder="1"/>
    <xf numFmtId="165" fontId="4" fillId="2" borderId="7" xfId="1" applyNumberFormat="1" applyFont="1" applyFill="1" applyBorder="1"/>
    <xf numFmtId="0" fontId="7" fillId="2" borderId="1" xfId="0" applyNumberFormat="1" applyFont="1" applyFill="1" applyBorder="1"/>
    <xf numFmtId="165" fontId="4" fillId="4" borderId="1" xfId="1" applyNumberFormat="1" applyFont="1" applyFill="1" applyBorder="1" applyAlignment="1">
      <alignment horizontal="center"/>
    </xf>
    <xf numFmtId="0" fontId="0" fillId="0" borderId="0" xfId="0" applyBorder="1"/>
    <xf numFmtId="0" fontId="28" fillId="0" borderId="1" xfId="0" applyFont="1" applyBorder="1" applyAlignment="1"/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/>
    <xf numFmtId="0" fontId="21" fillId="0" borderId="0" xfId="0" applyFont="1" applyBorder="1" applyAlignment="1"/>
    <xf numFmtId="0" fontId="28" fillId="0" borderId="0" xfId="0" applyFont="1" applyBorder="1" applyAlignment="1"/>
    <xf numFmtId="0" fontId="0" fillId="0" borderId="1" xfId="0" applyBorder="1" applyAlignment="1">
      <alignment horizontal="left"/>
    </xf>
    <xf numFmtId="41" fontId="4" fillId="2" borderId="1" xfId="2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41" fontId="7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horizontal="left"/>
    </xf>
    <xf numFmtId="41" fontId="0" fillId="2" borderId="1" xfId="0" applyNumberFormat="1" applyFill="1" applyBorder="1"/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165" fontId="4" fillId="5" borderId="1" xfId="1" applyNumberFormat="1" applyFont="1" applyFill="1" applyBorder="1"/>
    <xf numFmtId="0" fontId="7" fillId="6" borderId="0" xfId="0" applyFont="1" applyFill="1"/>
    <xf numFmtId="0" fontId="4" fillId="3" borderId="1" xfId="0" applyFont="1" applyFill="1" applyBorder="1"/>
    <xf numFmtId="165" fontId="4" fillId="3" borderId="1" xfId="1" applyNumberFormat="1" applyFont="1" applyFill="1" applyBorder="1"/>
    <xf numFmtId="41" fontId="4" fillId="3" borderId="1" xfId="2" applyFont="1" applyFill="1" applyBorder="1" applyAlignment="1"/>
    <xf numFmtId="41" fontId="4" fillId="3" borderId="1" xfId="2" applyFont="1" applyFill="1" applyBorder="1"/>
    <xf numFmtId="165" fontId="4" fillId="3" borderId="1" xfId="1" applyNumberFormat="1" applyFont="1" applyFill="1" applyBorder="1" applyAlignment="1">
      <alignment horizontal="center"/>
    </xf>
    <xf numFmtId="165" fontId="7" fillId="3" borderId="1" xfId="0" applyNumberFormat="1" applyFont="1" applyFill="1" applyBorder="1"/>
    <xf numFmtId="41" fontId="7" fillId="3" borderId="1" xfId="0" applyNumberFormat="1" applyFont="1" applyFill="1" applyBorder="1"/>
    <xf numFmtId="0" fontId="7" fillId="3" borderId="1" xfId="0" applyFont="1" applyFill="1" applyBorder="1"/>
    <xf numFmtId="165" fontId="4" fillId="7" borderId="1" xfId="1" applyNumberFormat="1" applyFont="1" applyFill="1" applyBorder="1"/>
    <xf numFmtId="0" fontId="0" fillId="3" borderId="0" xfId="0" applyFill="1" applyBorder="1"/>
    <xf numFmtId="0" fontId="0" fillId="3" borderId="0" xfId="0" applyFill="1"/>
    <xf numFmtId="0" fontId="4" fillId="5" borderId="1" xfId="0" applyFont="1" applyFill="1" applyBorder="1"/>
    <xf numFmtId="41" fontId="4" fillId="5" borderId="1" xfId="2" applyFont="1" applyFill="1" applyBorder="1" applyAlignment="1"/>
    <xf numFmtId="41" fontId="4" fillId="5" borderId="1" xfId="2" applyFont="1" applyFill="1" applyBorder="1"/>
    <xf numFmtId="165" fontId="4" fillId="5" borderId="1" xfId="1" applyNumberFormat="1" applyFont="1" applyFill="1" applyBorder="1" applyAlignment="1">
      <alignment horizontal="center"/>
    </xf>
    <xf numFmtId="165" fontId="7" fillId="5" borderId="1" xfId="0" applyNumberFormat="1" applyFont="1" applyFill="1" applyBorder="1"/>
    <xf numFmtId="41" fontId="7" fillId="5" borderId="1" xfId="0" applyNumberFormat="1" applyFont="1" applyFill="1" applyBorder="1"/>
    <xf numFmtId="0" fontId="7" fillId="5" borderId="1" xfId="0" applyFont="1" applyFill="1" applyBorder="1"/>
    <xf numFmtId="0" fontId="7" fillId="3" borderId="0" xfId="0" applyFont="1" applyFill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1" fontId="0" fillId="5" borderId="1" xfId="2" applyFont="1" applyFill="1" applyBorder="1"/>
    <xf numFmtId="41" fontId="0" fillId="5" borderId="1" xfId="0" applyNumberFormat="1" applyFill="1" applyBorder="1"/>
    <xf numFmtId="0" fontId="0" fillId="5" borderId="0" xfId="0" applyFill="1" applyBorder="1"/>
    <xf numFmtId="0" fontId="0" fillId="5" borderId="0" xfId="0" applyFill="1"/>
    <xf numFmtId="0" fontId="4" fillId="5" borderId="1" xfId="0" applyFont="1" applyFill="1" applyBorder="1" applyAlignment="1">
      <alignment horizontal="left"/>
    </xf>
    <xf numFmtId="165" fontId="4" fillId="5" borderId="1" xfId="1" applyNumberFormat="1" applyFont="1" applyFill="1" applyBorder="1" applyAlignment="1">
      <alignment horizontal="left"/>
    </xf>
    <xf numFmtId="41" fontId="4" fillId="5" borderId="1" xfId="2" applyFont="1" applyFill="1" applyBorder="1" applyAlignment="1">
      <alignment horizontal="right"/>
    </xf>
    <xf numFmtId="0" fontId="7" fillId="5" borderId="0" xfId="0" applyFont="1" applyFill="1"/>
    <xf numFmtId="0" fontId="0" fillId="8" borderId="1" xfId="0" applyFill="1" applyBorder="1"/>
    <xf numFmtId="0" fontId="0" fillId="8" borderId="1" xfId="0" applyFill="1" applyBorder="1" applyAlignment="1">
      <alignment horizontal="left"/>
    </xf>
    <xf numFmtId="41" fontId="0" fillId="8" borderId="1" xfId="2" applyFont="1" applyFill="1" applyBorder="1"/>
    <xf numFmtId="41" fontId="0" fillId="8" borderId="1" xfId="0" applyNumberFormat="1" applyFill="1" applyBorder="1"/>
    <xf numFmtId="0" fontId="0" fillId="8" borderId="0" xfId="0" applyFill="1" applyBorder="1"/>
    <xf numFmtId="0" fontId="0" fillId="8" borderId="0" xfId="0" applyFill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41" fontId="0" fillId="9" borderId="1" xfId="2" applyFont="1" applyFill="1" applyBorder="1"/>
    <xf numFmtId="41" fontId="0" fillId="9" borderId="1" xfId="0" applyNumberFormat="1" applyFill="1" applyBorder="1"/>
    <xf numFmtId="0" fontId="0" fillId="9" borderId="0" xfId="0" applyFill="1" applyBorder="1"/>
    <xf numFmtId="0" fontId="0" fillId="9" borderId="0" xfId="0" applyFill="1"/>
    <xf numFmtId="0" fontId="4" fillId="9" borderId="1" xfId="0" applyFont="1" applyFill="1" applyBorder="1"/>
    <xf numFmtId="165" fontId="4" fillId="9" borderId="1" xfId="1" applyNumberFormat="1" applyFont="1" applyFill="1" applyBorder="1"/>
    <xf numFmtId="41" fontId="4" fillId="9" borderId="1" xfId="2" applyFont="1" applyFill="1" applyBorder="1" applyAlignment="1"/>
    <xf numFmtId="41" fontId="4" fillId="9" borderId="1" xfId="2" applyFont="1" applyFill="1" applyBorder="1"/>
    <xf numFmtId="165" fontId="4" fillId="9" borderId="1" xfId="1" applyNumberFormat="1" applyFont="1" applyFill="1" applyBorder="1" applyAlignment="1">
      <alignment horizontal="center"/>
    </xf>
    <xf numFmtId="165" fontId="7" fillId="9" borderId="1" xfId="0" applyNumberFormat="1" applyFont="1" applyFill="1" applyBorder="1"/>
    <xf numFmtId="41" fontId="7" fillId="9" borderId="1" xfId="0" applyNumberFormat="1" applyFont="1" applyFill="1" applyBorder="1"/>
    <xf numFmtId="0" fontId="7" fillId="9" borderId="1" xfId="0" applyFont="1" applyFill="1" applyBorder="1"/>
    <xf numFmtId="41" fontId="4" fillId="9" borderId="1" xfId="2" applyFont="1" applyFill="1" applyBorder="1" applyAlignment="1">
      <alignment horizontal="center"/>
    </xf>
    <xf numFmtId="0" fontId="7" fillId="9" borderId="0" xfId="0" applyFont="1" applyFill="1"/>
    <xf numFmtId="0" fontId="31" fillId="2" borderId="1" xfId="0" applyFont="1" applyFill="1" applyBorder="1"/>
    <xf numFmtId="165" fontId="31" fillId="2" borderId="1" xfId="1" applyNumberFormat="1" applyFont="1" applyFill="1" applyBorder="1"/>
    <xf numFmtId="41" fontId="31" fillId="2" borderId="1" xfId="2" applyFont="1" applyFill="1" applyBorder="1" applyAlignment="1"/>
    <xf numFmtId="41" fontId="31" fillId="2" borderId="1" xfId="2" applyFont="1" applyFill="1" applyBorder="1"/>
    <xf numFmtId="165" fontId="31" fillId="2" borderId="1" xfId="1" applyNumberFormat="1" applyFont="1" applyFill="1" applyBorder="1" applyAlignment="1">
      <alignment horizontal="center"/>
    </xf>
    <xf numFmtId="165" fontId="32" fillId="2" borderId="1" xfId="0" applyNumberFormat="1" applyFont="1" applyFill="1" applyBorder="1"/>
    <xf numFmtId="41" fontId="32" fillId="2" borderId="1" xfId="0" applyNumberFormat="1" applyFont="1" applyFill="1" applyBorder="1"/>
    <xf numFmtId="0" fontId="32" fillId="2" borderId="0" xfId="0" applyFont="1" applyFill="1"/>
    <xf numFmtId="0" fontId="32" fillId="2" borderId="1" xfId="0" applyFont="1" applyFill="1" applyBorder="1"/>
    <xf numFmtId="0" fontId="22" fillId="9" borderId="1" xfId="0" applyFont="1" applyFill="1" applyBorder="1"/>
    <xf numFmtId="165" fontId="22" fillId="9" borderId="1" xfId="1" applyNumberFormat="1" applyFont="1" applyFill="1" applyBorder="1"/>
    <xf numFmtId="41" fontId="22" fillId="9" borderId="1" xfId="2" applyFont="1" applyFill="1" applyBorder="1" applyAlignment="1"/>
    <xf numFmtId="41" fontId="22" fillId="9" borderId="1" xfId="2" applyFont="1" applyFill="1" applyBorder="1"/>
    <xf numFmtId="165" fontId="22" fillId="9" borderId="1" xfId="1" applyNumberFormat="1" applyFont="1" applyFill="1" applyBorder="1" applyAlignment="1">
      <alignment horizontal="center"/>
    </xf>
    <xf numFmtId="165" fontId="1" fillId="9" borderId="1" xfId="0" applyNumberFormat="1" applyFont="1" applyFill="1" applyBorder="1"/>
    <xf numFmtId="41" fontId="1" fillId="9" borderId="1" xfId="0" applyNumberFormat="1" applyFont="1" applyFill="1" applyBorder="1"/>
    <xf numFmtId="0" fontId="1" fillId="9" borderId="1" xfId="0" applyFont="1" applyFill="1" applyBorder="1"/>
    <xf numFmtId="0" fontId="28" fillId="2" borderId="1" xfId="0" applyFont="1" applyFill="1" applyBorder="1" applyAlignment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41" fontId="0" fillId="10" borderId="1" xfId="2" applyFont="1" applyFill="1" applyBorder="1"/>
    <xf numFmtId="41" fontId="0" fillId="10" borderId="1" xfId="0" applyNumberFormat="1" applyFill="1" applyBorder="1"/>
    <xf numFmtId="0" fontId="0" fillId="10" borderId="0" xfId="0" applyFill="1" applyBorder="1"/>
    <xf numFmtId="0" fontId="0" fillId="10" borderId="0" xfId="0" applyFill="1"/>
    <xf numFmtId="0" fontId="6" fillId="2" borderId="1" xfId="0" applyFont="1" applyFill="1" applyBorder="1"/>
    <xf numFmtId="165" fontId="6" fillId="2" borderId="1" xfId="1" applyNumberFormat="1" applyFont="1" applyFill="1" applyBorder="1"/>
    <xf numFmtId="41" fontId="22" fillId="2" borderId="1" xfId="2" applyFont="1" applyFill="1" applyBorder="1" applyAlignment="1">
      <alignment horizontal="center"/>
    </xf>
    <xf numFmtId="41" fontId="1" fillId="2" borderId="1" xfId="0" applyNumberFormat="1" applyFont="1" applyFill="1" applyBorder="1"/>
    <xf numFmtId="0" fontId="4" fillId="10" borderId="1" xfId="0" applyFont="1" applyFill="1" applyBorder="1"/>
    <xf numFmtId="165" fontId="4" fillId="10" borderId="1" xfId="1" applyNumberFormat="1" applyFont="1" applyFill="1" applyBorder="1"/>
    <xf numFmtId="41" fontId="4" fillId="10" borderId="1" xfId="2" applyFont="1" applyFill="1" applyBorder="1" applyAlignment="1"/>
    <xf numFmtId="41" fontId="4" fillId="10" borderId="1" xfId="2" applyFont="1" applyFill="1" applyBorder="1"/>
    <xf numFmtId="165" fontId="4" fillId="10" borderId="1" xfId="1" applyNumberFormat="1" applyFont="1" applyFill="1" applyBorder="1" applyAlignment="1">
      <alignment horizontal="center"/>
    </xf>
    <xf numFmtId="165" fontId="7" fillId="10" borderId="1" xfId="0" applyNumberFormat="1" applyFont="1" applyFill="1" applyBorder="1"/>
    <xf numFmtId="41" fontId="7" fillId="10" borderId="1" xfId="0" applyNumberFormat="1" applyFont="1" applyFill="1" applyBorder="1"/>
    <xf numFmtId="0" fontId="7" fillId="10" borderId="1" xfId="0" applyFont="1" applyFill="1" applyBorder="1"/>
    <xf numFmtId="0" fontId="7" fillId="10" borderId="0" xfId="0" applyFont="1" applyFill="1"/>
    <xf numFmtId="0" fontId="4" fillId="6" borderId="1" xfId="0" applyFont="1" applyFill="1" applyBorder="1"/>
    <xf numFmtId="165" fontId="4" fillId="6" borderId="1" xfId="1" applyNumberFormat="1" applyFont="1" applyFill="1" applyBorder="1"/>
    <xf numFmtId="41" fontId="4" fillId="6" borderId="1" xfId="2" applyFont="1" applyFill="1" applyBorder="1" applyAlignment="1"/>
    <xf numFmtId="41" fontId="4" fillId="6" borderId="1" xfId="2" applyFont="1" applyFill="1" applyBorder="1"/>
    <xf numFmtId="165" fontId="4" fillId="6" borderId="1" xfId="1" applyNumberFormat="1" applyFont="1" applyFill="1" applyBorder="1" applyAlignment="1">
      <alignment horizontal="center"/>
    </xf>
    <xf numFmtId="165" fontId="7" fillId="6" borderId="1" xfId="0" applyNumberFormat="1" applyFont="1" applyFill="1" applyBorder="1"/>
    <xf numFmtId="41" fontId="7" fillId="6" borderId="1" xfId="0" applyNumberFormat="1" applyFont="1" applyFill="1" applyBorder="1"/>
    <xf numFmtId="0" fontId="7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1" fontId="0" fillId="6" borderId="1" xfId="2" applyFont="1" applyFill="1" applyBorder="1"/>
    <xf numFmtId="41" fontId="0" fillId="6" borderId="1" xfId="0" applyNumberFormat="1" applyFill="1" applyBorder="1"/>
    <xf numFmtId="0" fontId="0" fillId="6" borderId="0" xfId="0" applyFill="1" applyBorder="1"/>
    <xf numFmtId="0" fontId="0" fillId="6" borderId="0" xfId="0" applyFill="1"/>
    <xf numFmtId="0" fontId="12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9" xfId="0" applyFont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57"/>
  <sheetViews>
    <sheetView tabSelected="1" zoomScale="80" zoomScaleNormal="80" workbookViewId="0">
      <pane xSplit="2" ySplit="2" topLeftCell="G99" activePane="bottomRight" state="frozen"/>
      <selection pane="topRight" activeCell="C1" sqref="C1"/>
      <selection pane="bottomLeft" activeCell="A3" sqref="A3"/>
      <selection pane="bottomRight" activeCell="K110" sqref="K110"/>
    </sheetView>
  </sheetViews>
  <sheetFormatPr defaultColWidth="9.140625" defaultRowHeight="15" x14ac:dyDescent="0.25"/>
  <cols>
    <col min="1" max="1" width="9.85546875" style="56" bestFit="1" customWidth="1"/>
    <col min="2" max="2" width="57.140625" style="56" bestFit="1" customWidth="1"/>
    <col min="3" max="3" width="35.7109375" style="60" customWidth="1"/>
    <col min="4" max="4" width="21.5703125" style="60" customWidth="1"/>
    <col min="5" max="5" width="19.7109375" style="60" customWidth="1"/>
    <col min="6" max="6" width="19" style="60" customWidth="1"/>
    <col min="7" max="7" width="18.28515625" style="60" customWidth="1"/>
    <col min="8" max="8" width="18.140625" style="60" customWidth="1"/>
    <col min="9" max="9" width="18.7109375" style="60" customWidth="1"/>
    <col min="10" max="10" width="18.140625" style="60" customWidth="1"/>
    <col min="11" max="11" width="19.5703125" style="60" customWidth="1"/>
    <col min="12" max="12" width="20" style="60" customWidth="1"/>
    <col min="13" max="13" width="19" style="60" customWidth="1"/>
    <col min="14" max="14" width="20.140625" style="60" customWidth="1"/>
    <col min="15" max="15" width="19.5703125" style="60" customWidth="1"/>
    <col min="16" max="16" width="20.28515625" style="60" customWidth="1"/>
    <col min="17" max="17" width="17.7109375" style="56" bestFit="1" customWidth="1"/>
    <col min="18" max="18" width="18.28515625" style="56" bestFit="1" customWidth="1"/>
    <col min="19" max="19" width="24.42578125" style="60" customWidth="1"/>
    <col min="20" max="20" width="22.7109375" style="60" customWidth="1"/>
    <col min="21" max="21" width="26.85546875" style="60" customWidth="1"/>
    <col min="22" max="22" width="21.140625" style="60" customWidth="1"/>
    <col min="23" max="23" width="16.5703125" style="56" customWidth="1"/>
    <col min="24" max="24" width="17.28515625" style="56" customWidth="1"/>
    <col min="25" max="16384" width="9.140625" style="56"/>
  </cols>
  <sheetData>
    <row r="1" spans="1:24" ht="21" x14ac:dyDescent="0.35">
      <c r="A1" s="54">
        <v>100000</v>
      </c>
      <c r="B1" s="217" t="s">
        <v>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55"/>
      <c r="U1" s="55"/>
      <c r="V1" s="74"/>
    </row>
    <row r="2" spans="1:24" ht="24" customHeight="1" x14ac:dyDescent="0.3">
      <c r="A2" s="1"/>
      <c r="B2" s="10" t="s">
        <v>1</v>
      </c>
      <c r="C2" s="24" t="s">
        <v>320</v>
      </c>
      <c r="D2" s="24" t="s">
        <v>336</v>
      </c>
      <c r="E2" s="24" t="s">
        <v>321</v>
      </c>
      <c r="F2" s="24" t="s">
        <v>322</v>
      </c>
      <c r="G2" s="24" t="s">
        <v>323</v>
      </c>
      <c r="H2" s="24" t="s">
        <v>324</v>
      </c>
      <c r="I2" s="24" t="s">
        <v>325</v>
      </c>
      <c r="J2" s="24" t="s">
        <v>326</v>
      </c>
      <c r="K2" s="24" t="s">
        <v>338</v>
      </c>
      <c r="L2" s="24" t="s">
        <v>327</v>
      </c>
      <c r="M2" s="24" t="s">
        <v>328</v>
      </c>
      <c r="N2" s="24" t="s">
        <v>329</v>
      </c>
      <c r="O2" s="24" t="s">
        <v>330</v>
      </c>
      <c r="P2" s="24" t="s">
        <v>331</v>
      </c>
      <c r="Q2" s="25" t="s">
        <v>332</v>
      </c>
      <c r="R2" s="25" t="s">
        <v>333</v>
      </c>
      <c r="S2" s="24" t="s">
        <v>2</v>
      </c>
      <c r="T2" s="24" t="s">
        <v>340</v>
      </c>
      <c r="U2" s="24" t="s">
        <v>339</v>
      </c>
      <c r="V2" s="24" t="s">
        <v>466</v>
      </c>
      <c r="W2" s="1" t="s">
        <v>334</v>
      </c>
      <c r="X2" s="1" t="s">
        <v>335</v>
      </c>
    </row>
    <row r="3" spans="1:24" ht="18.75" x14ac:dyDescent="0.3">
      <c r="A3" s="1">
        <v>1</v>
      </c>
      <c r="B3" s="1" t="s">
        <v>3</v>
      </c>
      <c r="C3" s="12">
        <v>150000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f t="shared" ref="P3:P66" si="0">SUM(C3:O3)</f>
        <v>150000</v>
      </c>
      <c r="Q3" s="2">
        <f>100000</f>
        <v>100000</v>
      </c>
      <c r="R3" s="3">
        <v>50000</v>
      </c>
      <c r="S3" s="26"/>
      <c r="T3" s="26">
        <f t="shared" ref="T3:T34" si="1">S3-U3</f>
        <v>0</v>
      </c>
      <c r="U3" s="26">
        <v>0</v>
      </c>
      <c r="V3" s="26"/>
      <c r="W3" s="22">
        <f t="shared" ref="W3:W66" si="2">P3-(Q3+R3+S3)</f>
        <v>0</v>
      </c>
      <c r="X3" s="11">
        <f t="shared" ref="X3:X66" si="3">Q3/100000</f>
        <v>1</v>
      </c>
    </row>
    <row r="4" spans="1:24" ht="18.75" x14ac:dyDescent="0.3">
      <c r="A4" s="1">
        <v>2</v>
      </c>
      <c r="B4" s="1" t="s">
        <v>4</v>
      </c>
      <c r="C4" s="12">
        <v>250000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>
        <f t="shared" si="0"/>
        <v>250000</v>
      </c>
      <c r="Q4" s="2">
        <v>200000</v>
      </c>
      <c r="R4" s="3">
        <v>50000</v>
      </c>
      <c r="S4" s="85"/>
      <c r="T4" s="26">
        <f t="shared" si="1"/>
        <v>0</v>
      </c>
      <c r="U4" s="26">
        <v>0</v>
      </c>
      <c r="V4" s="26"/>
      <c r="W4" s="22">
        <f t="shared" si="2"/>
        <v>0</v>
      </c>
      <c r="X4" s="11">
        <f t="shared" si="3"/>
        <v>2</v>
      </c>
    </row>
    <row r="5" spans="1:24" ht="18.75" x14ac:dyDescent="0.3">
      <c r="A5" s="1">
        <v>3</v>
      </c>
      <c r="B5" s="1" t="s">
        <v>5</v>
      </c>
      <c r="C5" s="12">
        <v>150000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f t="shared" si="0"/>
        <v>150000</v>
      </c>
      <c r="Q5" s="2">
        <v>100000</v>
      </c>
      <c r="R5" s="3">
        <v>50000</v>
      </c>
      <c r="S5" s="12"/>
      <c r="T5" s="26">
        <f t="shared" si="1"/>
        <v>0</v>
      </c>
      <c r="U5" s="26">
        <v>0</v>
      </c>
      <c r="V5" s="26"/>
      <c r="W5" s="22">
        <f t="shared" si="2"/>
        <v>0</v>
      </c>
      <c r="X5" s="11">
        <f t="shared" si="3"/>
        <v>1</v>
      </c>
    </row>
    <row r="6" spans="1:24" ht="18.75" x14ac:dyDescent="0.3">
      <c r="A6" s="1">
        <v>4</v>
      </c>
      <c r="B6" s="1" t="s">
        <v>121</v>
      </c>
      <c r="C6" s="12">
        <v>1150000</v>
      </c>
      <c r="D6" s="12"/>
      <c r="E6" s="12">
        <v>1000000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f t="shared" si="0"/>
        <v>2150000</v>
      </c>
      <c r="Q6" s="2">
        <f>100000+1000000</f>
        <v>1100000</v>
      </c>
      <c r="R6" s="3">
        <v>50000</v>
      </c>
      <c r="S6" s="12">
        <v>1000000</v>
      </c>
      <c r="T6" s="26">
        <f t="shared" si="1"/>
        <v>100000</v>
      </c>
      <c r="U6" s="26">
        <v>900000</v>
      </c>
      <c r="V6" s="26"/>
      <c r="W6" s="22">
        <f t="shared" si="2"/>
        <v>0</v>
      </c>
      <c r="X6" s="11">
        <f t="shared" si="3"/>
        <v>11</v>
      </c>
    </row>
    <row r="7" spans="1:24" ht="18.75" x14ac:dyDescent="0.3">
      <c r="A7" s="1">
        <v>5</v>
      </c>
      <c r="B7" s="1" t="s">
        <v>8</v>
      </c>
      <c r="C7" s="12">
        <v>300000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f t="shared" si="0"/>
        <v>300000</v>
      </c>
      <c r="Q7" s="2">
        <v>200000</v>
      </c>
      <c r="R7" s="3">
        <v>50000</v>
      </c>
      <c r="S7" s="12">
        <v>50000</v>
      </c>
      <c r="T7" s="26">
        <f t="shared" si="1"/>
        <v>50000</v>
      </c>
      <c r="U7" s="26">
        <f>S7-50000</f>
        <v>0</v>
      </c>
      <c r="V7" s="26"/>
      <c r="W7" s="22">
        <f t="shared" si="2"/>
        <v>0</v>
      </c>
      <c r="X7" s="11">
        <f t="shared" si="3"/>
        <v>2</v>
      </c>
    </row>
    <row r="8" spans="1:24" ht="18.75" x14ac:dyDescent="0.3">
      <c r="A8" s="1">
        <v>6</v>
      </c>
      <c r="B8" s="1" t="s">
        <v>9</v>
      </c>
      <c r="C8" s="12">
        <v>150000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f t="shared" si="0"/>
        <v>150000</v>
      </c>
      <c r="Q8" s="2">
        <v>100000</v>
      </c>
      <c r="R8" s="3">
        <v>50000</v>
      </c>
      <c r="S8" s="12"/>
      <c r="T8" s="26">
        <f t="shared" si="1"/>
        <v>0</v>
      </c>
      <c r="U8" s="26">
        <v>0</v>
      </c>
      <c r="V8" s="26"/>
      <c r="W8" s="22">
        <f t="shared" si="2"/>
        <v>0</v>
      </c>
      <c r="X8" s="11">
        <f t="shared" si="3"/>
        <v>1</v>
      </c>
    </row>
    <row r="9" spans="1:24" ht="18.75" x14ac:dyDescent="0.3">
      <c r="A9" s="1">
        <v>7</v>
      </c>
      <c r="B9" s="1" t="s">
        <v>317</v>
      </c>
      <c r="C9" s="12">
        <v>5000000</v>
      </c>
      <c r="D9" s="12"/>
      <c r="E9" s="12"/>
      <c r="F9" s="12">
        <v>50000</v>
      </c>
      <c r="G9" s="12"/>
      <c r="H9" s="12"/>
      <c r="I9" s="12"/>
      <c r="J9" s="12"/>
      <c r="K9" s="12"/>
      <c r="L9" s="12"/>
      <c r="M9" s="12"/>
      <c r="N9" s="12"/>
      <c r="O9" s="12"/>
      <c r="P9" s="12">
        <f t="shared" si="0"/>
        <v>5050000</v>
      </c>
      <c r="Q9" s="2">
        <v>5000000</v>
      </c>
      <c r="R9" s="3">
        <v>50000</v>
      </c>
      <c r="S9" s="12"/>
      <c r="T9" s="26">
        <f t="shared" si="1"/>
        <v>0</v>
      </c>
      <c r="U9" s="26">
        <v>0</v>
      </c>
      <c r="V9" s="26"/>
      <c r="W9" s="22">
        <f t="shared" si="2"/>
        <v>0</v>
      </c>
      <c r="X9" s="11">
        <f t="shared" si="3"/>
        <v>50</v>
      </c>
    </row>
    <row r="10" spans="1:24" ht="18.75" x14ac:dyDescent="0.3">
      <c r="A10" s="1">
        <v>8</v>
      </c>
      <c r="B10" s="1" t="s">
        <v>10</v>
      </c>
      <c r="C10" s="12">
        <v>650000</v>
      </c>
      <c r="D10" s="12"/>
      <c r="E10" s="12">
        <v>50000</v>
      </c>
      <c r="F10" s="12"/>
      <c r="G10" s="12"/>
      <c r="H10" s="12">
        <v>200000</v>
      </c>
      <c r="I10" s="12"/>
      <c r="J10" s="12"/>
      <c r="K10" s="12"/>
      <c r="L10" s="12"/>
      <c r="M10" s="12"/>
      <c r="N10" s="12"/>
      <c r="O10" s="12"/>
      <c r="P10" s="12">
        <f t="shared" si="0"/>
        <v>900000</v>
      </c>
      <c r="Q10" s="2">
        <v>500000</v>
      </c>
      <c r="R10" s="3">
        <v>50000</v>
      </c>
      <c r="S10" s="12">
        <f>100000+50000+200000</f>
        <v>350000</v>
      </c>
      <c r="T10" s="26">
        <f t="shared" si="1"/>
        <v>250000</v>
      </c>
      <c r="U10" s="26">
        <f>S10-250000</f>
        <v>100000</v>
      </c>
      <c r="V10" s="26"/>
      <c r="W10" s="22">
        <f t="shared" si="2"/>
        <v>0</v>
      </c>
      <c r="X10" s="11">
        <f t="shared" si="3"/>
        <v>5</v>
      </c>
    </row>
    <row r="11" spans="1:24" ht="18.75" x14ac:dyDescent="0.3">
      <c r="A11" s="1">
        <v>9</v>
      </c>
      <c r="B11" s="1" t="s">
        <v>11</v>
      </c>
      <c r="C11" s="12">
        <v>150000</v>
      </c>
      <c r="D11" s="12">
        <v>50000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f t="shared" si="0"/>
        <v>200000</v>
      </c>
      <c r="Q11" s="2">
        <v>100000</v>
      </c>
      <c r="R11" s="3">
        <v>50000</v>
      </c>
      <c r="S11" s="12">
        <v>50000</v>
      </c>
      <c r="T11" s="26">
        <f t="shared" si="1"/>
        <v>50000</v>
      </c>
      <c r="U11" s="26">
        <v>0</v>
      </c>
      <c r="V11" s="26"/>
      <c r="W11" s="22">
        <f t="shared" si="2"/>
        <v>0</v>
      </c>
      <c r="X11" s="11">
        <f t="shared" si="3"/>
        <v>1</v>
      </c>
    </row>
    <row r="12" spans="1:24" s="122" customFormat="1" ht="18.75" x14ac:dyDescent="0.3">
      <c r="A12" s="115">
        <v>10</v>
      </c>
      <c r="B12" s="115" t="s">
        <v>12</v>
      </c>
      <c r="C12" s="116">
        <v>250000</v>
      </c>
      <c r="D12" s="116">
        <v>200000</v>
      </c>
      <c r="E12" s="116"/>
      <c r="F12" s="116"/>
      <c r="G12" s="116">
        <v>1000000</v>
      </c>
      <c r="H12" s="116"/>
      <c r="I12" s="116">
        <f>800000-1700000+700000</f>
        <v>-200000</v>
      </c>
      <c r="J12" s="116"/>
      <c r="K12" s="116"/>
      <c r="L12" s="116"/>
      <c r="M12" s="116"/>
      <c r="N12" s="116"/>
      <c r="O12" s="116"/>
      <c r="P12" s="116">
        <f t="shared" si="0"/>
        <v>1250000</v>
      </c>
      <c r="Q12" s="117">
        <f>100000+100000</f>
        <v>200000</v>
      </c>
      <c r="R12" s="118">
        <v>50000</v>
      </c>
      <c r="S12" s="116">
        <f>200000+1000000+800000-1700000+700000</f>
        <v>1000000</v>
      </c>
      <c r="T12" s="119">
        <f t="shared" si="1"/>
        <v>950000</v>
      </c>
      <c r="U12" s="119">
        <v>50000</v>
      </c>
      <c r="V12" s="119">
        <v>1700000</v>
      </c>
      <c r="W12" s="120">
        <f t="shared" si="2"/>
        <v>0</v>
      </c>
      <c r="X12" s="121">
        <f t="shared" si="3"/>
        <v>2</v>
      </c>
    </row>
    <row r="13" spans="1:24" ht="18.75" x14ac:dyDescent="0.3">
      <c r="A13" s="1">
        <v>11</v>
      </c>
      <c r="B13" s="35" t="s">
        <v>13</v>
      </c>
      <c r="C13" s="76">
        <v>5050000</v>
      </c>
      <c r="D13" s="76"/>
      <c r="E13" s="76">
        <v>1000000</v>
      </c>
      <c r="F13" s="76">
        <f>500000+1000000+1500000</f>
        <v>3000000</v>
      </c>
      <c r="G13" s="76"/>
      <c r="H13" s="76">
        <v>500000</v>
      </c>
      <c r="I13" s="76"/>
      <c r="J13" s="76"/>
      <c r="K13" s="76"/>
      <c r="L13" s="76"/>
      <c r="M13" s="76"/>
      <c r="N13" s="76"/>
      <c r="O13" s="76"/>
      <c r="P13" s="12">
        <f t="shared" si="0"/>
        <v>9550000</v>
      </c>
      <c r="Q13" s="2">
        <f>4500000+500000+1000000+500000+1000000+1500000</f>
        <v>9000000</v>
      </c>
      <c r="R13" s="9">
        <v>50000</v>
      </c>
      <c r="S13" s="12">
        <v>500000</v>
      </c>
      <c r="T13" s="26">
        <f t="shared" si="1"/>
        <v>250000</v>
      </c>
      <c r="U13" s="26">
        <v>250000</v>
      </c>
      <c r="V13" s="26"/>
      <c r="W13" s="22">
        <f t="shared" si="2"/>
        <v>0</v>
      </c>
      <c r="X13" s="11">
        <f t="shared" si="3"/>
        <v>90</v>
      </c>
    </row>
    <row r="14" spans="1:24" ht="18.75" x14ac:dyDescent="0.3">
      <c r="A14" s="1">
        <v>12</v>
      </c>
      <c r="B14" s="1" t="s">
        <v>14</v>
      </c>
      <c r="C14" s="12">
        <v>2110000</v>
      </c>
      <c r="D14" s="12"/>
      <c r="E14" s="12">
        <v>100000</v>
      </c>
      <c r="F14" s="12">
        <v>99000</v>
      </c>
      <c r="G14" s="12">
        <v>195000</v>
      </c>
      <c r="H14" s="12">
        <v>53000</v>
      </c>
      <c r="I14" s="12"/>
      <c r="J14" s="12"/>
      <c r="K14" s="12"/>
      <c r="L14" s="12"/>
      <c r="M14" s="12"/>
      <c r="N14" s="12"/>
      <c r="O14" s="12"/>
      <c r="P14" s="12">
        <f t="shared" si="0"/>
        <v>2557000</v>
      </c>
      <c r="Q14" s="2">
        <v>2000000</v>
      </c>
      <c r="R14" s="3">
        <v>50000</v>
      </c>
      <c r="S14" s="12">
        <f>60000+100000+99000+195000+53000</f>
        <v>507000</v>
      </c>
      <c r="T14" s="26">
        <f t="shared" si="1"/>
        <v>200000</v>
      </c>
      <c r="U14" s="26">
        <f>S14-200000</f>
        <v>307000</v>
      </c>
      <c r="V14" s="26"/>
      <c r="W14" s="22">
        <f t="shared" si="2"/>
        <v>0</v>
      </c>
      <c r="X14" s="11">
        <f t="shared" si="3"/>
        <v>20</v>
      </c>
    </row>
    <row r="15" spans="1:24" ht="18.75" x14ac:dyDescent="0.3">
      <c r="A15" s="1">
        <v>13</v>
      </c>
      <c r="B15" s="1" t="s">
        <v>16</v>
      </c>
      <c r="C15" s="12">
        <v>150000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>
        <f t="shared" si="0"/>
        <v>150000</v>
      </c>
      <c r="Q15" s="2">
        <v>100000</v>
      </c>
      <c r="R15" s="3">
        <v>50000</v>
      </c>
      <c r="S15" s="12"/>
      <c r="T15" s="26">
        <f t="shared" si="1"/>
        <v>0</v>
      </c>
      <c r="U15" s="26">
        <v>0</v>
      </c>
      <c r="V15" s="26"/>
      <c r="W15" s="22">
        <f t="shared" si="2"/>
        <v>0</v>
      </c>
      <c r="X15" s="11">
        <f t="shared" si="3"/>
        <v>1</v>
      </c>
    </row>
    <row r="16" spans="1:24" s="122" customFormat="1" ht="18.75" x14ac:dyDescent="0.3">
      <c r="A16" s="115">
        <v>14</v>
      </c>
      <c r="B16" s="115" t="s">
        <v>17</v>
      </c>
      <c r="C16" s="116">
        <v>600000</v>
      </c>
      <c r="D16" s="116"/>
      <c r="E16" s="116">
        <v>500000</v>
      </c>
      <c r="F16" s="116">
        <v>100000</v>
      </c>
      <c r="G16" s="116"/>
      <c r="H16" s="116">
        <f>300000+300000</f>
        <v>600000</v>
      </c>
      <c r="I16" s="116">
        <f>-500000-400000</f>
        <v>-900000</v>
      </c>
      <c r="J16" s="116"/>
      <c r="K16" s="116"/>
      <c r="L16" s="116"/>
      <c r="M16" s="116"/>
      <c r="N16" s="116"/>
      <c r="O16" s="116"/>
      <c r="P16" s="116">
        <f t="shared" si="0"/>
        <v>900000</v>
      </c>
      <c r="Q16" s="117">
        <v>500000</v>
      </c>
      <c r="R16" s="118">
        <v>50000</v>
      </c>
      <c r="S16" s="116">
        <f>50000+500000+100000+300000+300000-500000-400000</f>
        <v>350000</v>
      </c>
      <c r="T16" s="119">
        <f t="shared" si="1"/>
        <v>250000</v>
      </c>
      <c r="U16" s="119">
        <f>S16-250000</f>
        <v>100000</v>
      </c>
      <c r="V16" s="119">
        <f>500000+400000</f>
        <v>900000</v>
      </c>
      <c r="W16" s="120">
        <f t="shared" si="2"/>
        <v>0</v>
      </c>
      <c r="X16" s="121">
        <f t="shared" si="3"/>
        <v>5</v>
      </c>
    </row>
    <row r="17" spans="1:24" ht="18.75" x14ac:dyDescent="0.3">
      <c r="A17" s="1">
        <v>15</v>
      </c>
      <c r="B17" s="1" t="s">
        <v>18</v>
      </c>
      <c r="C17" s="12">
        <v>550000</v>
      </c>
      <c r="D17" s="12"/>
      <c r="E17" s="12"/>
      <c r="F17" s="12">
        <v>1000000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f t="shared" si="0"/>
        <v>1550000</v>
      </c>
      <c r="Q17" s="2">
        <v>500000</v>
      </c>
      <c r="R17" s="3">
        <v>50000</v>
      </c>
      <c r="S17" s="12">
        <v>1000000</v>
      </c>
      <c r="T17" s="26">
        <f t="shared" si="1"/>
        <v>150000</v>
      </c>
      <c r="U17" s="26">
        <v>850000</v>
      </c>
      <c r="V17" s="26"/>
      <c r="W17" s="22">
        <f t="shared" si="2"/>
        <v>0</v>
      </c>
      <c r="X17" s="11">
        <f t="shared" si="3"/>
        <v>5</v>
      </c>
    </row>
    <row r="18" spans="1:24" ht="18.75" x14ac:dyDescent="0.3">
      <c r="A18" s="1">
        <v>16</v>
      </c>
      <c r="B18" s="1" t="s">
        <v>19</v>
      </c>
      <c r="C18" s="12">
        <v>1050000</v>
      </c>
      <c r="D18" s="12">
        <v>50000</v>
      </c>
      <c r="E18" s="12">
        <v>50000</v>
      </c>
      <c r="F18" s="12"/>
      <c r="G18" s="12"/>
      <c r="H18" s="12">
        <v>100000</v>
      </c>
      <c r="I18" s="12"/>
      <c r="J18" s="12"/>
      <c r="K18" s="12"/>
      <c r="L18" s="12"/>
      <c r="M18" s="12"/>
      <c r="N18" s="12"/>
      <c r="O18" s="12"/>
      <c r="P18" s="12">
        <f t="shared" si="0"/>
        <v>1250000</v>
      </c>
      <c r="Q18" s="2">
        <v>1000000</v>
      </c>
      <c r="R18" s="3">
        <v>50000</v>
      </c>
      <c r="S18" s="12">
        <f>50000+50000+100000</f>
        <v>200000</v>
      </c>
      <c r="T18" s="26">
        <f t="shared" si="1"/>
        <v>200000</v>
      </c>
      <c r="U18" s="26">
        <v>0</v>
      </c>
      <c r="V18" s="26"/>
      <c r="W18" s="22">
        <f t="shared" si="2"/>
        <v>0</v>
      </c>
      <c r="X18" s="11">
        <f t="shared" si="3"/>
        <v>10</v>
      </c>
    </row>
    <row r="19" spans="1:24" ht="18.75" x14ac:dyDescent="0.3">
      <c r="A19" s="1">
        <v>17</v>
      </c>
      <c r="B19" s="1" t="s">
        <v>20</v>
      </c>
      <c r="C19" s="12">
        <v>4500000</v>
      </c>
      <c r="D19" s="12"/>
      <c r="E19" s="12"/>
      <c r="F19" s="12">
        <f>2500000+500000+50000</f>
        <v>3050000</v>
      </c>
      <c r="G19" s="12">
        <v>2000000</v>
      </c>
      <c r="H19" s="12">
        <v>300000</v>
      </c>
      <c r="I19" s="12">
        <f>200000-550000</f>
        <v>-350000</v>
      </c>
      <c r="J19" s="12"/>
      <c r="K19" s="12"/>
      <c r="L19" s="12"/>
      <c r="M19" s="12"/>
      <c r="N19" s="12"/>
      <c r="O19" s="12"/>
      <c r="P19" s="12">
        <f t="shared" si="0"/>
        <v>9500000</v>
      </c>
      <c r="Q19" s="2">
        <f>4500000+2300000+200000+2000000</f>
        <v>9000000</v>
      </c>
      <c r="R19" s="3">
        <v>50000</v>
      </c>
      <c r="S19" s="12">
        <f>200000+300000+300000+200000-550000</f>
        <v>450000</v>
      </c>
      <c r="T19" s="26">
        <f t="shared" si="1"/>
        <v>400000</v>
      </c>
      <c r="U19" s="26">
        <v>50000</v>
      </c>
      <c r="V19" s="26">
        <v>550000</v>
      </c>
      <c r="W19" s="22">
        <f t="shared" si="2"/>
        <v>0</v>
      </c>
      <c r="X19" s="11">
        <f t="shared" si="3"/>
        <v>90</v>
      </c>
    </row>
    <row r="20" spans="1:24" ht="18.75" x14ac:dyDescent="0.3">
      <c r="A20" s="1">
        <v>18</v>
      </c>
      <c r="B20" s="1" t="s">
        <v>21</v>
      </c>
      <c r="C20" s="12">
        <v>1050000</v>
      </c>
      <c r="D20" s="12"/>
      <c r="E20" s="12"/>
      <c r="F20" s="12"/>
      <c r="G20" s="12">
        <v>55000</v>
      </c>
      <c r="H20" s="12">
        <v>195000</v>
      </c>
      <c r="I20" s="12"/>
      <c r="J20" s="12"/>
      <c r="K20" s="12"/>
      <c r="L20" s="12"/>
      <c r="M20" s="12"/>
      <c r="N20" s="12"/>
      <c r="O20" s="12"/>
      <c r="P20" s="12">
        <f t="shared" si="0"/>
        <v>1300000</v>
      </c>
      <c r="Q20" s="2">
        <v>1000000</v>
      </c>
      <c r="R20" s="3">
        <v>50000</v>
      </c>
      <c r="S20" s="12">
        <f>55000+195000</f>
        <v>250000</v>
      </c>
      <c r="T20" s="26">
        <f t="shared" si="1"/>
        <v>250000</v>
      </c>
      <c r="U20" s="26">
        <v>0</v>
      </c>
      <c r="V20" s="26"/>
      <c r="W20" s="22">
        <f t="shared" si="2"/>
        <v>0</v>
      </c>
      <c r="X20" s="11">
        <f t="shared" si="3"/>
        <v>10</v>
      </c>
    </row>
    <row r="21" spans="1:24" ht="18.75" x14ac:dyDescent="0.3">
      <c r="A21" s="1">
        <v>19</v>
      </c>
      <c r="B21" s="1" t="s">
        <v>22</v>
      </c>
      <c r="C21" s="12">
        <v>350000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>
        <f t="shared" si="0"/>
        <v>350000</v>
      </c>
      <c r="Q21" s="2">
        <v>300000</v>
      </c>
      <c r="R21" s="3">
        <v>50000</v>
      </c>
      <c r="S21" s="12"/>
      <c r="T21" s="26">
        <f t="shared" si="1"/>
        <v>0</v>
      </c>
      <c r="U21" s="26">
        <v>0</v>
      </c>
      <c r="V21" s="26"/>
      <c r="W21" s="22">
        <f t="shared" si="2"/>
        <v>0</v>
      </c>
      <c r="X21" s="11">
        <f t="shared" si="3"/>
        <v>3</v>
      </c>
    </row>
    <row r="22" spans="1:24" ht="18.75" x14ac:dyDescent="0.3">
      <c r="A22" s="1">
        <v>20</v>
      </c>
      <c r="B22" s="1" t="s">
        <v>23</v>
      </c>
      <c r="C22" s="12">
        <v>250000</v>
      </c>
      <c r="D22" s="12"/>
      <c r="E22" s="12"/>
      <c r="F22" s="12">
        <f>100000+100000</f>
        <v>200000</v>
      </c>
      <c r="G22" s="12"/>
      <c r="H22" s="12">
        <f>100000+100000</f>
        <v>200000</v>
      </c>
      <c r="I22" s="12">
        <v>100000</v>
      </c>
      <c r="J22" s="12"/>
      <c r="K22" s="12"/>
      <c r="L22" s="12"/>
      <c r="M22" s="12"/>
      <c r="N22" s="12"/>
      <c r="O22" s="12"/>
      <c r="P22" s="12">
        <f t="shared" si="0"/>
        <v>750000</v>
      </c>
      <c r="Q22" s="2">
        <v>100000</v>
      </c>
      <c r="R22" s="3">
        <v>50000</v>
      </c>
      <c r="S22" s="12">
        <f>100000+100000+100000+100000+100000+100000</f>
        <v>600000</v>
      </c>
      <c r="T22" s="26">
        <f t="shared" si="1"/>
        <v>250000</v>
      </c>
      <c r="U22" s="26">
        <f>S22-250000</f>
        <v>350000</v>
      </c>
      <c r="V22" s="26"/>
      <c r="W22" s="22">
        <f t="shared" si="2"/>
        <v>0</v>
      </c>
      <c r="X22" s="11">
        <f t="shared" si="3"/>
        <v>1</v>
      </c>
    </row>
    <row r="23" spans="1:24" s="163" customFormat="1" ht="18.75" x14ac:dyDescent="0.3">
      <c r="A23" s="156">
        <v>21</v>
      </c>
      <c r="B23" s="156" t="s">
        <v>24</v>
      </c>
      <c r="C23" s="157">
        <v>4354000</v>
      </c>
      <c r="D23" s="157"/>
      <c r="E23" s="157">
        <v>73000</v>
      </c>
      <c r="F23" s="157">
        <f>915000+1500000+1005000+1250000+100000</f>
        <v>4770000</v>
      </c>
      <c r="G23" s="157"/>
      <c r="H23" s="157">
        <v>50000</v>
      </c>
      <c r="I23" s="157">
        <v>200000</v>
      </c>
      <c r="J23" s="157">
        <v>100000</v>
      </c>
      <c r="K23" s="157"/>
      <c r="L23" s="157"/>
      <c r="M23" s="157"/>
      <c r="N23" s="157"/>
      <c r="O23" s="157"/>
      <c r="P23" s="157">
        <f t="shared" si="0"/>
        <v>9547000</v>
      </c>
      <c r="Q23" s="158">
        <f>400000+900000+2200000+700000+100000+900000+1500000+1000000+1200000+100000</f>
        <v>9000000</v>
      </c>
      <c r="R23" s="159">
        <v>50000</v>
      </c>
      <c r="S23" s="157">
        <f>50000-11000+55000+10000+73000-100000+15000+5000+50000+50000+200000+100000</f>
        <v>497000</v>
      </c>
      <c r="T23" s="160">
        <f t="shared" si="1"/>
        <v>150000</v>
      </c>
      <c r="U23" s="160">
        <f>S23-150000</f>
        <v>347000</v>
      </c>
      <c r="V23" s="160"/>
      <c r="W23" s="161">
        <f t="shared" si="2"/>
        <v>0</v>
      </c>
      <c r="X23" s="162">
        <f t="shared" si="3"/>
        <v>90</v>
      </c>
    </row>
    <row r="24" spans="1:24" ht="18.75" x14ac:dyDescent="0.3">
      <c r="A24" s="1">
        <v>22</v>
      </c>
      <c r="B24" s="1" t="s">
        <v>25</v>
      </c>
      <c r="C24" s="12">
        <v>150000</v>
      </c>
      <c r="D24" s="12">
        <v>100000</v>
      </c>
      <c r="E24" s="12"/>
      <c r="F24" s="12">
        <v>100000</v>
      </c>
      <c r="G24" s="12">
        <v>80000</v>
      </c>
      <c r="H24" s="12">
        <v>50000</v>
      </c>
      <c r="I24" s="12"/>
      <c r="J24" s="12"/>
      <c r="K24" s="12"/>
      <c r="L24" s="12"/>
      <c r="M24" s="12"/>
      <c r="N24" s="12"/>
      <c r="O24" s="12"/>
      <c r="P24" s="12">
        <f t="shared" si="0"/>
        <v>480000</v>
      </c>
      <c r="Q24" s="2">
        <v>100000</v>
      </c>
      <c r="R24" s="3">
        <v>50000</v>
      </c>
      <c r="S24" s="12">
        <f>100000+100000+80000+50000</f>
        <v>330000</v>
      </c>
      <c r="T24" s="26">
        <f>S24-U24</f>
        <v>250000</v>
      </c>
      <c r="U24" s="26">
        <v>80000</v>
      </c>
      <c r="V24" s="26"/>
      <c r="W24" s="22">
        <f t="shared" si="2"/>
        <v>0</v>
      </c>
      <c r="X24" s="11">
        <f t="shared" si="3"/>
        <v>1</v>
      </c>
    </row>
    <row r="25" spans="1:24" ht="18.75" x14ac:dyDescent="0.3">
      <c r="A25" s="1">
        <v>23</v>
      </c>
      <c r="B25" s="1" t="s">
        <v>26</v>
      </c>
      <c r="C25" s="12">
        <v>1950000</v>
      </c>
      <c r="D25" s="12"/>
      <c r="E25" s="12">
        <v>900000</v>
      </c>
      <c r="F25" s="12"/>
      <c r="G25" s="12">
        <v>50000</v>
      </c>
      <c r="H25" s="12"/>
      <c r="I25" s="12">
        <v>150000</v>
      </c>
      <c r="J25" s="12"/>
      <c r="K25" s="12"/>
      <c r="L25" s="12"/>
      <c r="M25" s="12"/>
      <c r="N25" s="12"/>
      <c r="O25" s="12"/>
      <c r="P25" s="12">
        <f>SUM(C25:O25)-1700000</f>
        <v>1350000</v>
      </c>
      <c r="Q25" s="2">
        <v>1000000</v>
      </c>
      <c r="R25" s="3">
        <v>50000</v>
      </c>
      <c r="S25" s="12">
        <f>900000+900000-1700000+50000+150000</f>
        <v>300000</v>
      </c>
      <c r="T25" s="26">
        <f t="shared" si="1"/>
        <v>150000</v>
      </c>
      <c r="U25" s="26">
        <f>S25-150000</f>
        <v>150000</v>
      </c>
      <c r="V25" s="26">
        <v>1700000</v>
      </c>
      <c r="W25" s="22">
        <f t="shared" si="2"/>
        <v>0</v>
      </c>
      <c r="X25" s="11">
        <f t="shared" si="3"/>
        <v>10</v>
      </c>
    </row>
    <row r="26" spans="1:24" ht="18.75" x14ac:dyDescent="0.3">
      <c r="A26" s="1">
        <v>24</v>
      </c>
      <c r="B26" s="1" t="s">
        <v>27</v>
      </c>
      <c r="C26" s="12">
        <v>200000</v>
      </c>
      <c r="D26" s="12"/>
      <c r="E26" s="12">
        <v>50000</v>
      </c>
      <c r="F26" s="12"/>
      <c r="G26" s="12">
        <v>50000</v>
      </c>
      <c r="H26" s="12">
        <v>50000</v>
      </c>
      <c r="I26" s="12">
        <f>50000+50000</f>
        <v>100000</v>
      </c>
      <c r="J26" s="12"/>
      <c r="K26" s="12"/>
      <c r="L26" s="12"/>
      <c r="M26" s="12"/>
      <c r="N26" s="12"/>
      <c r="O26" s="12"/>
      <c r="P26" s="12">
        <f t="shared" si="0"/>
        <v>450000</v>
      </c>
      <c r="Q26" s="2">
        <v>100000</v>
      </c>
      <c r="R26" s="3">
        <v>50000</v>
      </c>
      <c r="S26" s="12">
        <f>50000+50000+50000+50000+50000+50000</f>
        <v>300000</v>
      </c>
      <c r="T26" s="26">
        <f t="shared" si="1"/>
        <v>200000</v>
      </c>
      <c r="U26" s="26">
        <f>S26-200000</f>
        <v>100000</v>
      </c>
      <c r="V26" s="26"/>
      <c r="W26" s="22">
        <f t="shared" si="2"/>
        <v>0</v>
      </c>
      <c r="X26" s="11">
        <f t="shared" si="3"/>
        <v>1</v>
      </c>
    </row>
    <row r="27" spans="1:24" ht="18.75" x14ac:dyDescent="0.3">
      <c r="A27" s="1">
        <v>25</v>
      </c>
      <c r="B27" s="1" t="s">
        <v>28</v>
      </c>
      <c r="C27" s="12">
        <v>150000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>
        <f t="shared" si="0"/>
        <v>150000</v>
      </c>
      <c r="Q27" s="2">
        <v>100000</v>
      </c>
      <c r="R27" s="3">
        <v>50000</v>
      </c>
      <c r="S27" s="12">
        <v>0</v>
      </c>
      <c r="T27" s="26">
        <f t="shared" si="1"/>
        <v>0</v>
      </c>
      <c r="U27" s="26">
        <v>0</v>
      </c>
      <c r="V27" s="26"/>
      <c r="W27" s="22">
        <f t="shared" si="2"/>
        <v>0</v>
      </c>
      <c r="X27" s="11">
        <f t="shared" si="3"/>
        <v>1</v>
      </c>
    </row>
    <row r="28" spans="1:24" ht="18" customHeight="1" x14ac:dyDescent="0.3">
      <c r="A28" s="1">
        <v>26</v>
      </c>
      <c r="B28" s="1" t="s">
        <v>29</v>
      </c>
      <c r="C28" s="12">
        <v>500000</v>
      </c>
      <c r="D28" s="12"/>
      <c r="E28" s="12"/>
      <c r="F28" s="12">
        <v>200000</v>
      </c>
      <c r="G28" s="12">
        <v>200000</v>
      </c>
      <c r="H28" s="12">
        <v>200000</v>
      </c>
      <c r="I28" s="12">
        <v>200000</v>
      </c>
      <c r="J28" s="12"/>
      <c r="K28" s="12"/>
      <c r="L28" s="12"/>
      <c r="M28" s="12"/>
      <c r="N28" s="12"/>
      <c r="O28" s="12"/>
      <c r="P28" s="12">
        <f t="shared" si="0"/>
        <v>1300000</v>
      </c>
      <c r="Q28" s="2">
        <v>200000</v>
      </c>
      <c r="R28" s="3">
        <v>50000</v>
      </c>
      <c r="S28" s="12">
        <f>250000+200000+200000+200000+200000</f>
        <v>1050000</v>
      </c>
      <c r="T28" s="26">
        <f t="shared" si="1"/>
        <v>250000</v>
      </c>
      <c r="U28" s="26">
        <f>S28-250000</f>
        <v>800000</v>
      </c>
      <c r="V28" s="26"/>
      <c r="W28" s="22">
        <f t="shared" si="2"/>
        <v>0</v>
      </c>
      <c r="X28" s="11">
        <f t="shared" si="3"/>
        <v>2</v>
      </c>
    </row>
    <row r="29" spans="1:24" ht="18" customHeight="1" x14ac:dyDescent="0.3">
      <c r="A29" s="1">
        <v>27</v>
      </c>
      <c r="B29" s="1" t="s">
        <v>30</v>
      </c>
      <c r="C29" s="12">
        <v>150000</v>
      </c>
      <c r="D29" s="12"/>
      <c r="E29" s="12">
        <v>100000</v>
      </c>
      <c r="F29" s="12">
        <v>100000</v>
      </c>
      <c r="G29" s="12"/>
      <c r="H29" s="12">
        <f>400000</f>
        <v>400000</v>
      </c>
      <c r="I29" s="12"/>
      <c r="J29" s="12"/>
      <c r="K29" s="12"/>
      <c r="L29" s="12"/>
      <c r="M29" s="12"/>
      <c r="N29" s="12"/>
      <c r="O29" s="12"/>
      <c r="P29" s="12">
        <f t="shared" si="0"/>
        <v>750000</v>
      </c>
      <c r="Q29" s="2">
        <v>100000</v>
      </c>
      <c r="R29" s="3">
        <v>50000</v>
      </c>
      <c r="S29" s="12">
        <f>100000+100000+400000</f>
        <v>600000</v>
      </c>
      <c r="T29" s="26">
        <f t="shared" si="1"/>
        <v>200000</v>
      </c>
      <c r="U29" s="26">
        <v>400000</v>
      </c>
      <c r="V29" s="26"/>
      <c r="W29" s="22">
        <f t="shared" si="2"/>
        <v>0</v>
      </c>
      <c r="X29" s="11">
        <f t="shared" si="3"/>
        <v>1</v>
      </c>
    </row>
    <row r="30" spans="1:24" ht="18" customHeight="1" x14ac:dyDescent="0.3">
      <c r="A30" s="1">
        <v>28</v>
      </c>
      <c r="B30" s="1" t="s">
        <v>31</v>
      </c>
      <c r="C30" s="12">
        <v>1050000</v>
      </c>
      <c r="D30" s="12">
        <v>50000</v>
      </c>
      <c r="E30" s="12"/>
      <c r="F30" s="12">
        <v>100000</v>
      </c>
      <c r="G30" s="12">
        <v>100000</v>
      </c>
      <c r="H30" s="12"/>
      <c r="I30" s="12">
        <v>100000</v>
      </c>
      <c r="J30" s="12"/>
      <c r="K30" s="12"/>
      <c r="L30" s="12"/>
      <c r="M30" s="12"/>
      <c r="N30" s="12"/>
      <c r="O30" s="12"/>
      <c r="P30" s="12">
        <f t="shared" si="0"/>
        <v>1400000</v>
      </c>
      <c r="Q30" s="2">
        <f>200000+800000</f>
        <v>1000000</v>
      </c>
      <c r="R30" s="3">
        <v>50000</v>
      </c>
      <c r="S30" s="12">
        <f>50000+100000+100000+100000</f>
        <v>350000</v>
      </c>
      <c r="T30" s="26">
        <f t="shared" si="1"/>
        <v>350000</v>
      </c>
      <c r="U30" s="26">
        <v>0</v>
      </c>
      <c r="V30" s="26"/>
      <c r="W30" s="22">
        <f t="shared" si="2"/>
        <v>0</v>
      </c>
      <c r="X30" s="11">
        <f t="shared" si="3"/>
        <v>10</v>
      </c>
    </row>
    <row r="31" spans="1:24" ht="18" customHeight="1" x14ac:dyDescent="0.3">
      <c r="A31" s="1">
        <v>29</v>
      </c>
      <c r="B31" s="1" t="s">
        <v>7</v>
      </c>
      <c r="C31" s="12">
        <v>250000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>
        <f t="shared" si="0"/>
        <v>250000</v>
      </c>
      <c r="Q31" s="6">
        <v>200000</v>
      </c>
      <c r="R31" s="6">
        <v>50000</v>
      </c>
      <c r="S31" s="12"/>
      <c r="T31" s="26">
        <f t="shared" si="1"/>
        <v>0</v>
      </c>
      <c r="U31" s="26">
        <v>0</v>
      </c>
      <c r="V31" s="26"/>
      <c r="W31" s="22">
        <f t="shared" si="2"/>
        <v>0</v>
      </c>
      <c r="X31" s="11">
        <f t="shared" si="3"/>
        <v>2</v>
      </c>
    </row>
    <row r="32" spans="1:24" ht="18" customHeight="1" x14ac:dyDescent="0.3">
      <c r="A32" s="1">
        <v>30</v>
      </c>
      <c r="B32" s="1" t="s">
        <v>32</v>
      </c>
      <c r="C32" s="12">
        <v>150000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>
        <f t="shared" si="0"/>
        <v>150000</v>
      </c>
      <c r="Q32" s="2">
        <v>100000</v>
      </c>
      <c r="R32" s="3">
        <v>50000</v>
      </c>
      <c r="S32" s="12"/>
      <c r="T32" s="26">
        <f t="shared" si="1"/>
        <v>0</v>
      </c>
      <c r="U32" s="26">
        <v>0</v>
      </c>
      <c r="V32" s="26"/>
      <c r="W32" s="22">
        <f t="shared" si="2"/>
        <v>0</v>
      </c>
      <c r="X32" s="11">
        <f t="shared" si="3"/>
        <v>1</v>
      </c>
    </row>
    <row r="33" spans="1:24" ht="18" customHeight="1" x14ac:dyDescent="0.3">
      <c r="A33" s="1">
        <v>31</v>
      </c>
      <c r="B33" s="1" t="s">
        <v>33</v>
      </c>
      <c r="C33" s="12">
        <v>450000</v>
      </c>
      <c r="D33" s="12"/>
      <c r="E33" s="12">
        <v>250000</v>
      </c>
      <c r="F33" s="12">
        <v>50000</v>
      </c>
      <c r="G33" s="12"/>
      <c r="H33" s="12"/>
      <c r="I33" s="12"/>
      <c r="J33" s="12"/>
      <c r="K33" s="12"/>
      <c r="L33" s="12"/>
      <c r="M33" s="12"/>
      <c r="N33" s="12"/>
      <c r="O33" s="12"/>
      <c r="P33" s="12">
        <f t="shared" si="0"/>
        <v>750000</v>
      </c>
      <c r="Q33" s="2">
        <f>200000+200000</f>
        <v>400000</v>
      </c>
      <c r="R33" s="3">
        <v>50000</v>
      </c>
      <c r="S33" s="12">
        <f>250000+50000</f>
        <v>300000</v>
      </c>
      <c r="T33" s="26">
        <f t="shared" si="1"/>
        <v>150000</v>
      </c>
      <c r="U33" s="26">
        <v>150000</v>
      </c>
      <c r="V33" s="26"/>
      <c r="W33" s="22">
        <f t="shared" si="2"/>
        <v>0</v>
      </c>
      <c r="X33" s="11">
        <f t="shared" si="3"/>
        <v>4</v>
      </c>
    </row>
    <row r="34" spans="1:24" ht="18" customHeight="1" x14ac:dyDescent="0.3">
      <c r="A34" s="1">
        <v>32</v>
      </c>
      <c r="B34" s="1" t="s">
        <v>34</v>
      </c>
      <c r="C34" s="12">
        <v>2450000</v>
      </c>
      <c r="D34" s="12">
        <v>100000</v>
      </c>
      <c r="E34" s="12">
        <f>100000+6600000</f>
        <v>6700000</v>
      </c>
      <c r="F34" s="12">
        <v>100000</v>
      </c>
      <c r="G34" s="12"/>
      <c r="H34" s="12"/>
      <c r="I34" s="12">
        <v>200000</v>
      </c>
      <c r="J34" s="12"/>
      <c r="K34" s="12"/>
      <c r="L34" s="12"/>
      <c r="M34" s="12"/>
      <c r="N34" s="12"/>
      <c r="O34" s="12"/>
      <c r="P34" s="12">
        <f t="shared" si="0"/>
        <v>9550000</v>
      </c>
      <c r="Q34" s="8">
        <f>1000000+1400000+6600000</f>
        <v>9000000</v>
      </c>
      <c r="R34" s="6">
        <v>50000</v>
      </c>
      <c r="S34" s="12">
        <f>100000+100000+100000+200000</f>
        <v>500000</v>
      </c>
      <c r="T34" s="26">
        <f t="shared" si="1"/>
        <v>350000</v>
      </c>
      <c r="U34" s="26">
        <v>150000</v>
      </c>
      <c r="V34" s="26"/>
      <c r="W34" s="22">
        <f t="shared" si="2"/>
        <v>0</v>
      </c>
      <c r="X34" s="11">
        <f t="shared" si="3"/>
        <v>90</v>
      </c>
    </row>
    <row r="35" spans="1:24" ht="18" customHeight="1" x14ac:dyDescent="0.3">
      <c r="A35" s="1">
        <v>33</v>
      </c>
      <c r="B35" s="1" t="s">
        <v>122</v>
      </c>
      <c r="C35" s="12">
        <v>6600000</v>
      </c>
      <c r="D35" s="12"/>
      <c r="E35" s="12">
        <f>2500000+50000</f>
        <v>2550000</v>
      </c>
      <c r="F35" s="12">
        <v>200000</v>
      </c>
      <c r="G35" s="12">
        <v>100000</v>
      </c>
      <c r="H35" s="12">
        <v>100000</v>
      </c>
      <c r="I35" s="12">
        <v>100000</v>
      </c>
      <c r="J35" s="12">
        <v>100000</v>
      </c>
      <c r="K35" s="12"/>
      <c r="L35" s="12"/>
      <c r="M35" s="12"/>
      <c r="N35" s="12"/>
      <c r="O35" s="12"/>
      <c r="P35" s="12">
        <f t="shared" si="0"/>
        <v>9750000</v>
      </c>
      <c r="Q35" s="2">
        <f>4000000+2500000+2500000</f>
        <v>9000000</v>
      </c>
      <c r="R35" s="3">
        <v>50000</v>
      </c>
      <c r="S35" s="12">
        <f>50000+50000+200000+100000+100000+100000+100000</f>
        <v>700000</v>
      </c>
      <c r="T35" s="26">
        <f t="shared" ref="T35:T66" si="4">S35-U35</f>
        <v>200000</v>
      </c>
      <c r="U35" s="26">
        <f>S35-200000</f>
        <v>500000</v>
      </c>
      <c r="V35" s="26"/>
      <c r="W35" s="22">
        <f t="shared" si="2"/>
        <v>0</v>
      </c>
      <c r="X35" s="11">
        <f t="shared" si="3"/>
        <v>90</v>
      </c>
    </row>
    <row r="36" spans="1:24" ht="18" customHeight="1" x14ac:dyDescent="0.3">
      <c r="A36" s="1">
        <v>34</v>
      </c>
      <c r="B36" s="4" t="s">
        <v>35</v>
      </c>
      <c r="C36" s="12">
        <v>150000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>
        <f t="shared" si="0"/>
        <v>150000</v>
      </c>
      <c r="Q36" s="2">
        <v>100000</v>
      </c>
      <c r="R36" s="3">
        <v>50000</v>
      </c>
      <c r="S36" s="12"/>
      <c r="T36" s="26">
        <f t="shared" si="4"/>
        <v>0</v>
      </c>
      <c r="U36" s="26">
        <v>0</v>
      </c>
      <c r="V36" s="26"/>
      <c r="W36" s="22">
        <f t="shared" si="2"/>
        <v>0</v>
      </c>
      <c r="X36" s="11">
        <f t="shared" si="3"/>
        <v>1</v>
      </c>
    </row>
    <row r="37" spans="1:24" ht="18" customHeight="1" x14ac:dyDescent="0.3">
      <c r="A37" s="1">
        <v>35</v>
      </c>
      <c r="B37" s="1" t="s">
        <v>36</v>
      </c>
      <c r="C37" s="12">
        <v>350000</v>
      </c>
      <c r="D37" s="12">
        <v>50000</v>
      </c>
      <c r="E37" s="12">
        <v>50000</v>
      </c>
      <c r="F37" s="12"/>
      <c r="G37" s="12"/>
      <c r="H37" s="12">
        <v>150000</v>
      </c>
      <c r="I37" s="12"/>
      <c r="J37" s="12">
        <v>50000</v>
      </c>
      <c r="K37" s="12"/>
      <c r="L37" s="12"/>
      <c r="M37" s="12"/>
      <c r="N37" s="12"/>
      <c r="O37" s="12"/>
      <c r="P37" s="12">
        <f t="shared" si="0"/>
        <v>650000</v>
      </c>
      <c r="Q37" s="2">
        <v>300000</v>
      </c>
      <c r="R37" s="3">
        <v>50000</v>
      </c>
      <c r="S37" s="12">
        <f>100000+150000+50000</f>
        <v>300000</v>
      </c>
      <c r="T37" s="26">
        <f t="shared" si="4"/>
        <v>300000</v>
      </c>
      <c r="U37" s="26">
        <v>0</v>
      </c>
      <c r="V37" s="26"/>
      <c r="W37" s="22">
        <f t="shared" si="2"/>
        <v>0</v>
      </c>
      <c r="X37" s="11">
        <f t="shared" si="3"/>
        <v>3</v>
      </c>
    </row>
    <row r="38" spans="1:24" ht="18" customHeight="1" x14ac:dyDescent="0.3">
      <c r="A38" s="1">
        <v>36</v>
      </c>
      <c r="B38" s="1" t="s">
        <v>37</v>
      </c>
      <c r="C38" s="12">
        <v>150000</v>
      </c>
      <c r="D38" s="12"/>
      <c r="E38" s="12"/>
      <c r="F38" s="12"/>
      <c r="G38" s="12">
        <v>400000</v>
      </c>
      <c r="H38" s="12">
        <v>100000</v>
      </c>
      <c r="I38" s="12"/>
      <c r="J38" s="12"/>
      <c r="K38" s="12"/>
      <c r="L38" s="12"/>
      <c r="M38" s="12"/>
      <c r="N38" s="12"/>
      <c r="O38" s="12"/>
      <c r="P38" s="12">
        <f t="shared" si="0"/>
        <v>650000</v>
      </c>
      <c r="Q38" s="2">
        <v>100000</v>
      </c>
      <c r="R38" s="3">
        <v>50000</v>
      </c>
      <c r="S38" s="12">
        <f>400000+100000</f>
        <v>500000</v>
      </c>
      <c r="T38" s="26">
        <f t="shared" si="4"/>
        <v>300000</v>
      </c>
      <c r="U38" s="26">
        <v>200000</v>
      </c>
      <c r="V38" s="26"/>
      <c r="W38" s="22">
        <f t="shared" si="2"/>
        <v>0</v>
      </c>
      <c r="X38" s="11">
        <f t="shared" si="3"/>
        <v>1</v>
      </c>
    </row>
    <row r="39" spans="1:24" ht="18" customHeight="1" x14ac:dyDescent="0.3">
      <c r="A39" s="1">
        <v>37</v>
      </c>
      <c r="B39" s="1" t="s">
        <v>38</v>
      </c>
      <c r="C39" s="12">
        <v>300000</v>
      </c>
      <c r="D39" s="12"/>
      <c r="E39" s="12">
        <v>50000</v>
      </c>
      <c r="F39" s="12"/>
      <c r="G39" s="12">
        <v>50000</v>
      </c>
      <c r="H39" s="12">
        <f>50000+50000</f>
        <v>100000</v>
      </c>
      <c r="I39" s="12">
        <v>50000</v>
      </c>
      <c r="J39" s="12"/>
      <c r="K39" s="12"/>
      <c r="L39" s="12"/>
      <c r="M39" s="12"/>
      <c r="N39" s="12"/>
      <c r="O39" s="12"/>
      <c r="P39" s="12">
        <f t="shared" si="0"/>
        <v>550000</v>
      </c>
      <c r="Q39" s="2">
        <v>200000</v>
      </c>
      <c r="R39" s="3">
        <v>50000</v>
      </c>
      <c r="S39" s="12">
        <f>50000+50000+50000+50000+50000+50000</f>
        <v>300000</v>
      </c>
      <c r="T39" s="26">
        <f t="shared" si="4"/>
        <v>200000</v>
      </c>
      <c r="U39" s="26">
        <f>S39-200000</f>
        <v>100000</v>
      </c>
      <c r="V39" s="26"/>
      <c r="W39" s="22">
        <f t="shared" si="2"/>
        <v>0</v>
      </c>
      <c r="X39" s="11">
        <f t="shared" si="3"/>
        <v>2</v>
      </c>
    </row>
    <row r="40" spans="1:24" s="122" customFormat="1" ht="18.75" x14ac:dyDescent="0.3">
      <c r="A40" s="115">
        <v>38</v>
      </c>
      <c r="B40" s="115" t="s">
        <v>39</v>
      </c>
      <c r="C40" s="116">
        <v>550000</v>
      </c>
      <c r="D40" s="116"/>
      <c r="E40" s="116">
        <v>200000</v>
      </c>
      <c r="F40" s="116">
        <v>200000</v>
      </c>
      <c r="G40" s="116">
        <v>200000</v>
      </c>
      <c r="H40" s="116">
        <v>200000</v>
      </c>
      <c r="I40" s="116">
        <v>-700000</v>
      </c>
      <c r="J40" s="116"/>
      <c r="K40" s="116"/>
      <c r="L40" s="116"/>
      <c r="M40" s="116"/>
      <c r="N40" s="116"/>
      <c r="O40" s="116"/>
      <c r="P40" s="116">
        <f t="shared" si="0"/>
        <v>650000</v>
      </c>
      <c r="Q40" s="117">
        <v>300000</v>
      </c>
      <c r="R40" s="118">
        <v>50000</v>
      </c>
      <c r="S40" s="116">
        <f>200000+200000+200000+200000+200000-700000</f>
        <v>300000</v>
      </c>
      <c r="T40" s="119">
        <f>S40-U40</f>
        <v>200000</v>
      </c>
      <c r="U40" s="119">
        <f>S40-200000</f>
        <v>100000</v>
      </c>
      <c r="V40" s="119">
        <v>700000</v>
      </c>
      <c r="W40" s="120">
        <f t="shared" si="2"/>
        <v>0</v>
      </c>
      <c r="X40" s="121">
        <f t="shared" si="3"/>
        <v>3</v>
      </c>
    </row>
    <row r="41" spans="1:24" s="132" customFormat="1" ht="18" customHeight="1" x14ac:dyDescent="0.3">
      <c r="A41" s="126">
        <v>39</v>
      </c>
      <c r="B41" s="126" t="s">
        <v>40</v>
      </c>
      <c r="C41" s="113">
        <v>610000</v>
      </c>
      <c r="D41" s="113"/>
      <c r="E41" s="113">
        <v>660000</v>
      </c>
      <c r="F41" s="113">
        <v>560000</v>
      </c>
      <c r="G41" s="113">
        <v>560000</v>
      </c>
      <c r="H41" s="113">
        <v>560000</v>
      </c>
      <c r="I41" s="113">
        <v>560000</v>
      </c>
      <c r="J41" s="113">
        <v>560000</v>
      </c>
      <c r="K41" s="113"/>
      <c r="L41" s="113"/>
      <c r="M41" s="113"/>
      <c r="N41" s="113"/>
      <c r="O41" s="113"/>
      <c r="P41" s="113">
        <f t="shared" si="0"/>
        <v>4070000</v>
      </c>
      <c r="Q41" s="127">
        <v>100000</v>
      </c>
      <c r="R41" s="128">
        <v>50000</v>
      </c>
      <c r="S41" s="113">
        <f>460000+660000+560000+560000+560000+560000+560000</f>
        <v>3920000</v>
      </c>
      <c r="T41" s="129">
        <f t="shared" si="4"/>
        <v>200000</v>
      </c>
      <c r="U41" s="129">
        <f>S41-200000</f>
        <v>3720000</v>
      </c>
      <c r="V41" s="129"/>
      <c r="W41" s="130">
        <f t="shared" si="2"/>
        <v>0</v>
      </c>
      <c r="X41" s="131">
        <f t="shared" si="3"/>
        <v>1</v>
      </c>
    </row>
    <row r="42" spans="1:24" ht="18.75" x14ac:dyDescent="0.3">
      <c r="A42" s="1">
        <v>40</v>
      </c>
      <c r="B42" s="1" t="s">
        <v>41</v>
      </c>
      <c r="C42" s="12">
        <v>250000</v>
      </c>
      <c r="D42" s="12"/>
      <c r="E42" s="12">
        <f>50000+50000</f>
        <v>100000</v>
      </c>
      <c r="F42" s="12">
        <v>50000</v>
      </c>
      <c r="G42" s="12">
        <v>50000</v>
      </c>
      <c r="H42" s="12">
        <v>50000</v>
      </c>
      <c r="I42" s="12">
        <v>50000</v>
      </c>
      <c r="J42" s="12"/>
      <c r="K42" s="12"/>
      <c r="L42" s="12"/>
      <c r="M42" s="12"/>
      <c r="N42" s="12"/>
      <c r="O42" s="12"/>
      <c r="P42" s="12">
        <f t="shared" si="0"/>
        <v>550000</v>
      </c>
      <c r="Q42" s="2">
        <f>100000+100000</f>
        <v>200000</v>
      </c>
      <c r="R42" s="3">
        <v>50000</v>
      </c>
      <c r="S42" s="12">
        <f>50000+50000+50000+50000+50000+50000</f>
        <v>300000</v>
      </c>
      <c r="T42" s="26">
        <f t="shared" si="4"/>
        <v>300000</v>
      </c>
      <c r="U42" s="26">
        <v>0</v>
      </c>
      <c r="V42" s="26"/>
      <c r="W42" s="22">
        <f t="shared" si="2"/>
        <v>0</v>
      </c>
      <c r="X42" s="11">
        <f t="shared" si="3"/>
        <v>2</v>
      </c>
    </row>
    <row r="43" spans="1:24" ht="18.75" x14ac:dyDescent="0.3">
      <c r="A43" s="1">
        <v>41</v>
      </c>
      <c r="B43" s="1" t="s">
        <v>42</v>
      </c>
      <c r="C43" s="12">
        <v>650000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>
        <f t="shared" si="0"/>
        <v>650000</v>
      </c>
      <c r="Q43" s="2">
        <v>600000</v>
      </c>
      <c r="R43" s="3">
        <v>50000</v>
      </c>
      <c r="S43" s="12"/>
      <c r="T43" s="26">
        <f t="shared" si="4"/>
        <v>0</v>
      </c>
      <c r="U43" s="26">
        <v>0</v>
      </c>
      <c r="V43" s="26"/>
      <c r="W43" s="22">
        <f t="shared" si="2"/>
        <v>0</v>
      </c>
      <c r="X43" s="11">
        <f t="shared" si="3"/>
        <v>6</v>
      </c>
    </row>
    <row r="44" spans="1:24" ht="18.75" x14ac:dyDescent="0.3">
      <c r="A44" s="1">
        <v>42</v>
      </c>
      <c r="B44" s="1" t="s">
        <v>43</v>
      </c>
      <c r="C44" s="12">
        <v>250000</v>
      </c>
      <c r="D44" s="12"/>
      <c r="E44" s="12">
        <v>100000</v>
      </c>
      <c r="F44" s="12">
        <v>50000</v>
      </c>
      <c r="G44" s="12">
        <v>50000</v>
      </c>
      <c r="H44" s="12"/>
      <c r="I44" s="12">
        <v>50000</v>
      </c>
      <c r="J44" s="12"/>
      <c r="K44" s="12"/>
      <c r="L44" s="12"/>
      <c r="M44" s="12"/>
      <c r="N44" s="12"/>
      <c r="O44" s="12"/>
      <c r="P44" s="12">
        <f t="shared" si="0"/>
        <v>500000</v>
      </c>
      <c r="Q44" s="2">
        <v>200000</v>
      </c>
      <c r="R44" s="3">
        <v>50000</v>
      </c>
      <c r="S44" s="12">
        <f>100000+50000+50000+50000</f>
        <v>250000</v>
      </c>
      <c r="T44" s="26">
        <f t="shared" si="4"/>
        <v>250000</v>
      </c>
      <c r="U44" s="26">
        <v>0</v>
      </c>
      <c r="V44" s="26"/>
      <c r="W44" s="22">
        <f t="shared" si="2"/>
        <v>0</v>
      </c>
      <c r="X44" s="11">
        <f t="shared" si="3"/>
        <v>2</v>
      </c>
    </row>
    <row r="45" spans="1:24" ht="18.75" x14ac:dyDescent="0.3">
      <c r="A45" s="1">
        <v>43</v>
      </c>
      <c r="B45" s="1" t="s">
        <v>44</v>
      </c>
      <c r="C45" s="12">
        <v>5050000</v>
      </c>
      <c r="D45" s="12"/>
      <c r="E45" s="12">
        <v>2000000</v>
      </c>
      <c r="F45" s="12">
        <v>2100000</v>
      </c>
      <c r="G45" s="12"/>
      <c r="H45" s="12">
        <v>100000</v>
      </c>
      <c r="I45" s="12"/>
      <c r="J45" s="12"/>
      <c r="K45" s="12"/>
      <c r="L45" s="12"/>
      <c r="M45" s="12"/>
      <c r="N45" s="12"/>
      <c r="O45" s="12"/>
      <c r="P45" s="12">
        <f t="shared" si="0"/>
        <v>9250000</v>
      </c>
      <c r="Q45" s="2">
        <f>500000+4500000+2000000+2000000</f>
        <v>9000000</v>
      </c>
      <c r="R45" s="3">
        <v>50000</v>
      </c>
      <c r="S45" s="12">
        <f>100000+100000</f>
        <v>200000</v>
      </c>
      <c r="T45" s="26">
        <f t="shared" si="4"/>
        <v>200000</v>
      </c>
      <c r="U45" s="26">
        <v>0</v>
      </c>
      <c r="V45" s="26"/>
      <c r="W45" s="22">
        <f t="shared" si="2"/>
        <v>0</v>
      </c>
      <c r="X45" s="11">
        <f t="shared" si="3"/>
        <v>90</v>
      </c>
    </row>
    <row r="46" spans="1:24" ht="18.75" x14ac:dyDescent="0.3">
      <c r="A46" s="1">
        <v>44</v>
      </c>
      <c r="B46" s="1" t="s">
        <v>45</v>
      </c>
      <c r="C46" s="12">
        <v>4550000</v>
      </c>
      <c r="D46" s="12">
        <v>100000</v>
      </c>
      <c r="E46" s="12">
        <v>1200000</v>
      </c>
      <c r="F46" s="12">
        <f>100000+3000000+300000</f>
        <v>3400000</v>
      </c>
      <c r="G46" s="12">
        <v>100000</v>
      </c>
      <c r="H46" s="12">
        <v>100000</v>
      </c>
      <c r="I46" s="12">
        <v>100000</v>
      </c>
      <c r="J46" s="12"/>
      <c r="K46" s="12"/>
      <c r="L46" s="12"/>
      <c r="M46" s="12"/>
      <c r="N46" s="12"/>
      <c r="O46" s="12"/>
      <c r="P46" s="12">
        <f t="shared" si="0"/>
        <v>9550000</v>
      </c>
      <c r="Q46" s="6">
        <f>400000+600000+1400000+2100000+1200000+3000000+300000</f>
        <v>9000000</v>
      </c>
      <c r="R46" s="6">
        <v>50000</v>
      </c>
      <c r="S46" s="12">
        <f>100000+100000+100000+100000+100000</f>
        <v>500000</v>
      </c>
      <c r="T46" s="26">
        <f t="shared" si="4"/>
        <v>200000</v>
      </c>
      <c r="U46" s="26">
        <f>S46-200000</f>
        <v>300000</v>
      </c>
      <c r="V46" s="26"/>
      <c r="W46" s="22">
        <f t="shared" si="2"/>
        <v>0</v>
      </c>
      <c r="X46" s="11">
        <f t="shared" si="3"/>
        <v>90</v>
      </c>
    </row>
    <row r="47" spans="1:24" ht="18.75" x14ac:dyDescent="0.3">
      <c r="A47" s="1">
        <v>45</v>
      </c>
      <c r="B47" s="1" t="s">
        <v>46</v>
      </c>
      <c r="C47" s="12">
        <v>350000</v>
      </c>
      <c r="D47" s="12"/>
      <c r="E47" s="12">
        <v>100000</v>
      </c>
      <c r="F47" s="12"/>
      <c r="G47" s="12"/>
      <c r="H47" s="12">
        <v>100000</v>
      </c>
      <c r="I47" s="12"/>
      <c r="J47" s="12"/>
      <c r="K47" s="12"/>
      <c r="L47" s="12"/>
      <c r="M47" s="12"/>
      <c r="N47" s="12"/>
      <c r="O47" s="12"/>
      <c r="P47" s="12">
        <f t="shared" si="0"/>
        <v>550000</v>
      </c>
      <c r="Q47" s="2">
        <v>200000</v>
      </c>
      <c r="R47" s="3">
        <v>50000</v>
      </c>
      <c r="S47" s="12">
        <f>100000+100000+100000</f>
        <v>300000</v>
      </c>
      <c r="T47" s="26">
        <f t="shared" si="4"/>
        <v>100000</v>
      </c>
      <c r="U47" s="26">
        <f>S47-100000</f>
        <v>200000</v>
      </c>
      <c r="V47" s="26"/>
      <c r="W47" s="22">
        <f t="shared" si="2"/>
        <v>0</v>
      </c>
      <c r="X47" s="11">
        <f t="shared" si="3"/>
        <v>2</v>
      </c>
    </row>
    <row r="48" spans="1:24" ht="18.75" x14ac:dyDescent="0.3">
      <c r="A48" s="1">
        <v>46</v>
      </c>
      <c r="B48" s="1" t="s">
        <v>47</v>
      </c>
      <c r="C48" s="12">
        <v>550000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>
        <f t="shared" si="0"/>
        <v>550000</v>
      </c>
      <c r="Q48" s="2">
        <f>100000+400000</f>
        <v>500000</v>
      </c>
      <c r="R48" s="3">
        <v>50000</v>
      </c>
      <c r="S48" s="12"/>
      <c r="T48" s="26">
        <f t="shared" si="4"/>
        <v>0</v>
      </c>
      <c r="U48" s="26">
        <v>0</v>
      </c>
      <c r="V48" s="26"/>
      <c r="W48" s="22">
        <f t="shared" si="2"/>
        <v>0</v>
      </c>
      <c r="X48" s="11">
        <f t="shared" si="3"/>
        <v>5</v>
      </c>
    </row>
    <row r="49" spans="1:24" ht="18.75" x14ac:dyDescent="0.3">
      <c r="A49" s="1">
        <v>47</v>
      </c>
      <c r="B49" s="1" t="s">
        <v>48</v>
      </c>
      <c r="C49" s="12">
        <v>7000000</v>
      </c>
      <c r="D49" s="12"/>
      <c r="E49" s="12"/>
      <c r="F49" s="12">
        <f>2050000+200000</f>
        <v>2250000</v>
      </c>
      <c r="G49" s="12"/>
      <c r="H49" s="12"/>
      <c r="I49" s="12"/>
      <c r="J49" s="12"/>
      <c r="K49" s="12"/>
      <c r="L49" s="12"/>
      <c r="M49" s="12"/>
      <c r="N49" s="12"/>
      <c r="O49" s="12"/>
      <c r="P49" s="12">
        <f t="shared" si="0"/>
        <v>9250000</v>
      </c>
      <c r="Q49" s="2">
        <f>4500000+2500000+2000000</f>
        <v>9000000</v>
      </c>
      <c r="R49" s="3">
        <v>50000</v>
      </c>
      <c r="S49" s="12">
        <v>200000</v>
      </c>
      <c r="T49" s="26">
        <f t="shared" si="4"/>
        <v>150000</v>
      </c>
      <c r="U49" s="26">
        <v>50000</v>
      </c>
      <c r="V49" s="26"/>
      <c r="W49" s="22">
        <f t="shared" si="2"/>
        <v>0</v>
      </c>
      <c r="X49" s="11">
        <f t="shared" si="3"/>
        <v>90</v>
      </c>
    </row>
    <row r="50" spans="1:24" ht="18.75" x14ac:dyDescent="0.3">
      <c r="A50" s="1">
        <v>48</v>
      </c>
      <c r="B50" s="1" t="s">
        <v>49</v>
      </c>
      <c r="C50" s="12">
        <v>550000</v>
      </c>
      <c r="D50" s="12"/>
      <c r="E50" s="12"/>
      <c r="F50" s="12">
        <v>200000</v>
      </c>
      <c r="G50" s="12"/>
      <c r="H50" s="12"/>
      <c r="I50" s="12"/>
      <c r="J50" s="12"/>
      <c r="K50" s="12"/>
      <c r="L50" s="12"/>
      <c r="M50" s="12"/>
      <c r="N50" s="12"/>
      <c r="O50" s="12"/>
      <c r="P50" s="12">
        <f t="shared" si="0"/>
        <v>750000</v>
      </c>
      <c r="Q50" s="2">
        <v>500000</v>
      </c>
      <c r="R50" s="3">
        <v>50000</v>
      </c>
      <c r="S50" s="12">
        <v>200000</v>
      </c>
      <c r="T50" s="26">
        <f t="shared" si="4"/>
        <v>100000</v>
      </c>
      <c r="U50" s="26">
        <v>100000</v>
      </c>
      <c r="V50" s="26"/>
      <c r="W50" s="22">
        <f t="shared" si="2"/>
        <v>0</v>
      </c>
      <c r="X50" s="11">
        <f t="shared" si="3"/>
        <v>5</v>
      </c>
    </row>
    <row r="51" spans="1:24" ht="18.75" x14ac:dyDescent="0.3">
      <c r="A51" s="1">
        <v>49</v>
      </c>
      <c r="B51" s="1" t="s">
        <v>50</v>
      </c>
      <c r="C51" s="12">
        <v>450000</v>
      </c>
      <c r="D51" s="12"/>
      <c r="E51" s="12"/>
      <c r="F51" s="12"/>
      <c r="G51" s="12">
        <v>468000</v>
      </c>
      <c r="H51" s="12"/>
      <c r="I51" s="12"/>
      <c r="J51" s="12"/>
      <c r="K51" s="12"/>
      <c r="L51" s="12"/>
      <c r="M51" s="12"/>
      <c r="N51" s="12"/>
      <c r="O51" s="12"/>
      <c r="P51" s="12">
        <f t="shared" si="0"/>
        <v>918000</v>
      </c>
      <c r="Q51" s="2">
        <f>100000+300000</f>
        <v>400000</v>
      </c>
      <c r="R51" s="3">
        <v>50000</v>
      </c>
      <c r="S51" s="12">
        <v>468000</v>
      </c>
      <c r="T51" s="26">
        <f t="shared" si="4"/>
        <v>250000</v>
      </c>
      <c r="U51" s="26">
        <v>218000</v>
      </c>
      <c r="V51" s="26"/>
      <c r="W51" s="22">
        <f t="shared" si="2"/>
        <v>0</v>
      </c>
      <c r="X51" s="11">
        <f t="shared" si="3"/>
        <v>4</v>
      </c>
    </row>
    <row r="52" spans="1:24" ht="18.75" x14ac:dyDescent="0.3">
      <c r="A52" s="1">
        <v>50</v>
      </c>
      <c r="B52" s="1" t="s">
        <v>51</v>
      </c>
      <c r="C52" s="12">
        <v>250000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>
        <f t="shared" si="0"/>
        <v>250000</v>
      </c>
      <c r="Q52" s="2">
        <v>200000</v>
      </c>
      <c r="R52" s="3">
        <v>50000</v>
      </c>
      <c r="S52" s="12"/>
      <c r="T52" s="26">
        <f t="shared" si="4"/>
        <v>0</v>
      </c>
      <c r="U52" s="26">
        <v>0</v>
      </c>
      <c r="V52" s="26"/>
      <c r="W52" s="22">
        <f t="shared" si="2"/>
        <v>0</v>
      </c>
      <c r="X52" s="11">
        <f t="shared" si="3"/>
        <v>2</v>
      </c>
    </row>
    <row r="53" spans="1:24" ht="18.75" x14ac:dyDescent="0.3">
      <c r="A53" s="1">
        <v>51</v>
      </c>
      <c r="B53" s="1" t="s">
        <v>52</v>
      </c>
      <c r="C53" s="12">
        <v>4600000</v>
      </c>
      <c r="D53" s="12"/>
      <c r="E53" s="12">
        <v>50000</v>
      </c>
      <c r="F53" s="12">
        <f>4000000+550000</f>
        <v>4550000</v>
      </c>
      <c r="G53" s="12">
        <v>100000</v>
      </c>
      <c r="H53" s="12">
        <v>100000</v>
      </c>
      <c r="I53" s="12"/>
      <c r="J53" s="12"/>
      <c r="K53" s="12"/>
      <c r="L53" s="12"/>
      <c r="M53" s="12"/>
      <c r="N53" s="12"/>
      <c r="O53" s="12"/>
      <c r="P53" s="12">
        <f t="shared" si="0"/>
        <v>9400000</v>
      </c>
      <c r="Q53" s="2">
        <f>1000000+3500000+4000000+500000</f>
        <v>9000000</v>
      </c>
      <c r="R53" s="8">
        <v>50000</v>
      </c>
      <c r="S53" s="12">
        <f>50000+50000+50000+100000+100000</f>
        <v>350000</v>
      </c>
      <c r="T53" s="26">
        <f t="shared" si="4"/>
        <v>100000</v>
      </c>
      <c r="U53" s="26">
        <f>S53-100000</f>
        <v>250000</v>
      </c>
      <c r="V53" s="26"/>
      <c r="W53" s="22">
        <f t="shared" si="2"/>
        <v>0</v>
      </c>
      <c r="X53" s="11">
        <f t="shared" si="3"/>
        <v>90</v>
      </c>
    </row>
    <row r="54" spans="1:24" ht="18.75" x14ac:dyDescent="0.3">
      <c r="A54" s="1">
        <v>52</v>
      </c>
      <c r="B54" s="1" t="s">
        <v>53</v>
      </c>
      <c r="C54" s="12">
        <v>150000</v>
      </c>
      <c r="D54" s="12"/>
      <c r="E54" s="12"/>
      <c r="F54" s="12"/>
      <c r="G54" s="12"/>
      <c r="H54" s="12"/>
      <c r="I54" s="12">
        <v>50000</v>
      </c>
      <c r="J54" s="12"/>
      <c r="K54" s="12"/>
      <c r="L54" s="12"/>
      <c r="M54" s="12"/>
      <c r="N54" s="12"/>
      <c r="O54" s="12"/>
      <c r="P54" s="12">
        <f t="shared" si="0"/>
        <v>200000</v>
      </c>
      <c r="Q54" s="2">
        <v>100000</v>
      </c>
      <c r="R54" s="3">
        <v>50000</v>
      </c>
      <c r="S54" s="12">
        <v>50000</v>
      </c>
      <c r="T54" s="26">
        <f t="shared" si="4"/>
        <v>50000</v>
      </c>
      <c r="U54" s="26">
        <v>0</v>
      </c>
      <c r="V54" s="26"/>
      <c r="W54" s="22">
        <f t="shared" si="2"/>
        <v>0</v>
      </c>
      <c r="X54" s="11">
        <f t="shared" si="3"/>
        <v>1</v>
      </c>
    </row>
    <row r="55" spans="1:24" ht="18.75" x14ac:dyDescent="0.3">
      <c r="A55" s="1">
        <v>53</v>
      </c>
      <c r="B55" s="1" t="s">
        <v>54</v>
      </c>
      <c r="C55" s="12">
        <v>250000</v>
      </c>
      <c r="D55" s="12"/>
      <c r="E55" s="12"/>
      <c r="F55" s="12">
        <v>200000</v>
      </c>
      <c r="G55" s="12">
        <v>200000</v>
      </c>
      <c r="H55" s="12"/>
      <c r="I55" s="12">
        <v>200000</v>
      </c>
      <c r="J55" s="12"/>
      <c r="K55" s="12"/>
      <c r="L55" s="12"/>
      <c r="M55" s="12"/>
      <c r="N55" s="12"/>
      <c r="O55" s="12"/>
      <c r="P55" s="12">
        <f t="shared" si="0"/>
        <v>850000</v>
      </c>
      <c r="Q55" s="2">
        <v>200000</v>
      </c>
      <c r="R55" s="3">
        <v>50000</v>
      </c>
      <c r="S55" s="12">
        <f>200000+200000+200000</f>
        <v>600000</v>
      </c>
      <c r="T55" s="26">
        <f t="shared" si="4"/>
        <v>400000</v>
      </c>
      <c r="U55" s="26">
        <v>200000</v>
      </c>
      <c r="V55" s="26"/>
      <c r="W55" s="22">
        <f t="shared" si="2"/>
        <v>0</v>
      </c>
      <c r="X55" s="11">
        <f t="shared" si="3"/>
        <v>2</v>
      </c>
    </row>
    <row r="56" spans="1:24" ht="18.75" x14ac:dyDescent="0.3">
      <c r="A56" s="1">
        <v>54</v>
      </c>
      <c r="B56" s="1" t="s">
        <v>55</v>
      </c>
      <c r="C56" s="12">
        <v>1075000</v>
      </c>
      <c r="D56" s="12"/>
      <c r="E56" s="12">
        <v>100000</v>
      </c>
      <c r="F56" s="12">
        <v>100000</v>
      </c>
      <c r="G56" s="12"/>
      <c r="H56" s="12">
        <v>55000</v>
      </c>
      <c r="I56" s="12"/>
      <c r="J56" s="12"/>
      <c r="K56" s="12"/>
      <c r="L56" s="12"/>
      <c r="M56" s="12"/>
      <c r="N56" s="12"/>
      <c r="O56" s="12"/>
      <c r="P56" s="12">
        <f t="shared" si="0"/>
        <v>1330000</v>
      </c>
      <c r="Q56" s="2">
        <v>1000000</v>
      </c>
      <c r="R56" s="3">
        <v>50000</v>
      </c>
      <c r="S56" s="12">
        <f>25000+100000+100000+55000</f>
        <v>280000</v>
      </c>
      <c r="T56" s="26">
        <f t="shared" si="4"/>
        <v>250000</v>
      </c>
      <c r="U56" s="26">
        <v>30000</v>
      </c>
      <c r="V56" s="26"/>
      <c r="W56" s="22">
        <f t="shared" si="2"/>
        <v>0</v>
      </c>
      <c r="X56" s="11">
        <f t="shared" si="3"/>
        <v>10</v>
      </c>
    </row>
    <row r="57" spans="1:24" s="57" customFormat="1" ht="19.5" customHeight="1" x14ac:dyDescent="0.3">
      <c r="A57" s="53">
        <v>55</v>
      </c>
      <c r="B57" s="1" t="s">
        <v>56</v>
      </c>
      <c r="C57" s="12">
        <v>2350000</v>
      </c>
      <c r="D57" s="12"/>
      <c r="E57" s="12">
        <v>300000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>
        <f t="shared" si="0"/>
        <v>2650000</v>
      </c>
      <c r="Q57" s="2">
        <f>500000+500000+500000+500000</f>
        <v>2000000</v>
      </c>
      <c r="R57" s="3">
        <v>50000</v>
      </c>
      <c r="S57" s="12">
        <f>100000+200000+300000</f>
        <v>600000</v>
      </c>
      <c r="T57" s="26">
        <f t="shared" si="4"/>
        <v>100000</v>
      </c>
      <c r="U57" s="26">
        <f>S57-100000</f>
        <v>500000</v>
      </c>
      <c r="V57" s="26"/>
      <c r="W57" s="22">
        <f t="shared" si="2"/>
        <v>0</v>
      </c>
      <c r="X57" s="11">
        <f t="shared" si="3"/>
        <v>20</v>
      </c>
    </row>
    <row r="58" spans="1:24" s="57" customFormat="1" ht="18.75" x14ac:dyDescent="0.3">
      <c r="A58" s="53">
        <v>56</v>
      </c>
      <c r="B58" s="53" t="s">
        <v>57</v>
      </c>
      <c r="C58" s="80">
        <v>150000</v>
      </c>
      <c r="D58" s="80">
        <v>50000</v>
      </c>
      <c r="E58" s="80">
        <v>100000</v>
      </c>
      <c r="F58" s="80"/>
      <c r="G58" s="80">
        <v>100000</v>
      </c>
      <c r="H58" s="80">
        <v>200000</v>
      </c>
      <c r="I58" s="80"/>
      <c r="J58" s="80">
        <v>100000</v>
      </c>
      <c r="K58" s="80"/>
      <c r="L58" s="80"/>
      <c r="M58" s="80"/>
      <c r="N58" s="80"/>
      <c r="O58" s="80"/>
      <c r="P58" s="80">
        <f t="shared" si="0"/>
        <v>700000</v>
      </c>
      <c r="Q58" s="192">
        <v>100000</v>
      </c>
      <c r="R58" s="81">
        <v>50000</v>
      </c>
      <c r="S58" s="80">
        <f>50000+100000+100000+200000+100000</f>
        <v>550000</v>
      </c>
      <c r="T58" s="82">
        <f t="shared" si="4"/>
        <v>150000</v>
      </c>
      <c r="U58" s="26">
        <f>S58-150000</f>
        <v>400000</v>
      </c>
      <c r="V58" s="26"/>
      <c r="W58" s="83">
        <f t="shared" si="2"/>
        <v>0</v>
      </c>
      <c r="X58" s="193">
        <f t="shared" si="3"/>
        <v>1</v>
      </c>
    </row>
    <row r="59" spans="1:24" ht="18" customHeight="1" x14ac:dyDescent="0.3">
      <c r="A59" s="1">
        <v>57</v>
      </c>
      <c r="B59" s="53" t="s">
        <v>58</v>
      </c>
      <c r="C59" s="80">
        <v>150000</v>
      </c>
      <c r="D59" s="80">
        <v>100000</v>
      </c>
      <c r="E59" s="80">
        <v>100000</v>
      </c>
      <c r="F59" s="80">
        <v>100000</v>
      </c>
      <c r="G59" s="80">
        <v>100000</v>
      </c>
      <c r="H59" s="80">
        <v>400000</v>
      </c>
      <c r="I59" s="80">
        <f>1000000+200000</f>
        <v>1200000</v>
      </c>
      <c r="J59" s="80"/>
      <c r="K59" s="80"/>
      <c r="L59" s="80"/>
      <c r="M59" s="80"/>
      <c r="N59" s="80"/>
      <c r="O59" s="80"/>
      <c r="P59" s="80">
        <f t="shared" si="0"/>
        <v>2150000</v>
      </c>
      <c r="Q59" s="192">
        <v>100000</v>
      </c>
      <c r="R59" s="81">
        <v>50000</v>
      </c>
      <c r="S59" s="80">
        <f>100000+100000+100000+100000+400000+1000000+200000</f>
        <v>2000000</v>
      </c>
      <c r="T59" s="82">
        <f t="shared" si="4"/>
        <v>250000</v>
      </c>
      <c r="U59" s="26">
        <f>S59-250000</f>
        <v>1750000</v>
      </c>
      <c r="V59" s="26"/>
      <c r="W59" s="83">
        <f t="shared" si="2"/>
        <v>0</v>
      </c>
      <c r="X59" s="193">
        <f t="shared" si="3"/>
        <v>1</v>
      </c>
    </row>
    <row r="60" spans="1:24" ht="18.75" x14ac:dyDescent="0.3">
      <c r="A60" s="1">
        <v>58</v>
      </c>
      <c r="B60" s="1" t="s">
        <v>264</v>
      </c>
      <c r="C60" s="12">
        <v>350000</v>
      </c>
      <c r="D60" s="12"/>
      <c r="E60" s="12"/>
      <c r="F60" s="12"/>
      <c r="G60" s="12">
        <v>200000</v>
      </c>
      <c r="H60" s="12"/>
      <c r="I60" s="12"/>
      <c r="J60" s="12"/>
      <c r="K60" s="12"/>
      <c r="L60" s="12"/>
      <c r="M60" s="12"/>
      <c r="N60" s="12"/>
      <c r="O60" s="12"/>
      <c r="P60" s="12">
        <f t="shared" si="0"/>
        <v>550000</v>
      </c>
      <c r="Q60" s="2">
        <v>300000</v>
      </c>
      <c r="R60" s="3">
        <v>50000</v>
      </c>
      <c r="S60" s="12">
        <v>200000</v>
      </c>
      <c r="T60" s="26">
        <f t="shared" si="4"/>
        <v>200000</v>
      </c>
      <c r="U60" s="26">
        <v>0</v>
      </c>
      <c r="V60" s="26"/>
      <c r="W60" s="22">
        <f t="shared" si="2"/>
        <v>0</v>
      </c>
      <c r="X60" s="11">
        <f t="shared" si="3"/>
        <v>3</v>
      </c>
    </row>
    <row r="61" spans="1:24" ht="18.75" x14ac:dyDescent="0.3">
      <c r="A61" s="1">
        <v>59</v>
      </c>
      <c r="B61" s="1" t="s">
        <v>59</v>
      </c>
      <c r="C61" s="12">
        <v>350000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>
        <f t="shared" si="0"/>
        <v>350000</v>
      </c>
      <c r="Q61" s="2">
        <f>100000+200000</f>
        <v>300000</v>
      </c>
      <c r="R61" s="3">
        <v>50000</v>
      </c>
      <c r="S61" s="12"/>
      <c r="T61" s="26">
        <f t="shared" si="4"/>
        <v>0</v>
      </c>
      <c r="U61" s="26">
        <v>0</v>
      </c>
      <c r="V61" s="26"/>
      <c r="W61" s="22">
        <f t="shared" si="2"/>
        <v>0</v>
      </c>
      <c r="X61" s="11">
        <f t="shared" si="3"/>
        <v>3</v>
      </c>
    </row>
    <row r="62" spans="1:24" ht="18.75" x14ac:dyDescent="0.3">
      <c r="A62" s="1">
        <v>60</v>
      </c>
      <c r="B62" s="1" t="s">
        <v>60</v>
      </c>
      <c r="C62" s="12">
        <v>450000</v>
      </c>
      <c r="D62" s="12"/>
      <c r="E62" s="12"/>
      <c r="F62" s="12">
        <v>200000</v>
      </c>
      <c r="G62" s="12"/>
      <c r="H62" s="12"/>
      <c r="I62" s="12"/>
      <c r="J62" s="12">
        <v>900000</v>
      </c>
      <c r="K62" s="12"/>
      <c r="L62" s="12"/>
      <c r="M62" s="12"/>
      <c r="N62" s="12"/>
      <c r="O62" s="12"/>
      <c r="P62" s="12">
        <f t="shared" si="0"/>
        <v>1550000</v>
      </c>
      <c r="Q62" s="2">
        <f>200000+200000</f>
        <v>400000</v>
      </c>
      <c r="R62" s="3">
        <v>50000</v>
      </c>
      <c r="S62" s="12">
        <f>200000+900000</f>
        <v>1100000</v>
      </c>
      <c r="T62" s="26">
        <f t="shared" si="4"/>
        <v>1050000</v>
      </c>
      <c r="U62" s="26">
        <v>50000</v>
      </c>
      <c r="V62" s="26"/>
      <c r="W62" s="22">
        <f t="shared" si="2"/>
        <v>0</v>
      </c>
      <c r="X62" s="11">
        <f t="shared" si="3"/>
        <v>4</v>
      </c>
    </row>
    <row r="63" spans="1:24" ht="18.75" x14ac:dyDescent="0.3">
      <c r="A63" s="1">
        <v>61</v>
      </c>
      <c r="B63" s="1" t="s">
        <v>61</v>
      </c>
      <c r="C63" s="12">
        <v>4500000</v>
      </c>
      <c r="D63" s="12"/>
      <c r="E63" s="12"/>
      <c r="F63" s="12">
        <v>4500000</v>
      </c>
      <c r="G63" s="12"/>
      <c r="H63" s="12"/>
      <c r="I63" s="12"/>
      <c r="J63" s="12"/>
      <c r="K63" s="12"/>
      <c r="L63" s="12"/>
      <c r="M63" s="12"/>
      <c r="N63" s="12"/>
      <c r="O63" s="12"/>
      <c r="P63" s="12">
        <f t="shared" si="0"/>
        <v>9000000</v>
      </c>
      <c r="Q63" s="2">
        <f>4500000+4500000</f>
        <v>9000000</v>
      </c>
      <c r="R63" s="3"/>
      <c r="S63" s="12"/>
      <c r="T63" s="26">
        <f t="shared" si="4"/>
        <v>0</v>
      </c>
      <c r="U63" s="26">
        <v>0</v>
      </c>
      <c r="V63" s="26"/>
      <c r="W63" s="22">
        <f t="shared" si="2"/>
        <v>0</v>
      </c>
      <c r="X63" s="11">
        <f t="shared" si="3"/>
        <v>90</v>
      </c>
    </row>
    <row r="64" spans="1:24" ht="18.75" x14ac:dyDescent="0.3">
      <c r="A64" s="1">
        <v>62</v>
      </c>
      <c r="B64" s="1" t="s">
        <v>62</v>
      </c>
      <c r="C64" s="12">
        <v>150000</v>
      </c>
      <c r="D64" s="12"/>
      <c r="E64" s="12">
        <v>100000</v>
      </c>
      <c r="F64" s="12"/>
      <c r="G64" s="12"/>
      <c r="H64" s="12">
        <v>200000</v>
      </c>
      <c r="I64" s="12"/>
      <c r="J64" s="12"/>
      <c r="K64" s="12"/>
      <c r="L64" s="12"/>
      <c r="M64" s="12"/>
      <c r="N64" s="12"/>
      <c r="O64" s="12"/>
      <c r="P64" s="12">
        <f t="shared" si="0"/>
        <v>450000</v>
      </c>
      <c r="Q64" s="2">
        <v>100000</v>
      </c>
      <c r="R64" s="3">
        <v>50000</v>
      </c>
      <c r="S64" s="12">
        <f>100000+200000</f>
        <v>300000</v>
      </c>
      <c r="T64" s="26">
        <f t="shared" si="4"/>
        <v>300000</v>
      </c>
      <c r="U64" s="26">
        <v>0</v>
      </c>
      <c r="V64" s="26"/>
      <c r="W64" s="22">
        <f t="shared" si="2"/>
        <v>0</v>
      </c>
      <c r="X64" s="11">
        <f t="shared" si="3"/>
        <v>1</v>
      </c>
    </row>
    <row r="65" spans="1:24" ht="18.75" x14ac:dyDescent="0.3">
      <c r="A65" s="1">
        <v>63</v>
      </c>
      <c r="B65" s="1" t="s">
        <v>63</v>
      </c>
      <c r="C65" s="12">
        <v>350000</v>
      </c>
      <c r="D65" s="12">
        <v>50000</v>
      </c>
      <c r="E65" s="12"/>
      <c r="F65" s="12">
        <v>50000</v>
      </c>
      <c r="G65" s="12">
        <v>50000</v>
      </c>
      <c r="H65" s="12">
        <v>50000</v>
      </c>
      <c r="I65" s="12">
        <v>50000</v>
      </c>
      <c r="J65" s="12"/>
      <c r="K65" s="12"/>
      <c r="L65" s="12"/>
      <c r="M65" s="12"/>
      <c r="N65" s="12"/>
      <c r="O65" s="12"/>
      <c r="P65" s="12">
        <f t="shared" si="0"/>
        <v>600000</v>
      </c>
      <c r="Q65" s="2">
        <v>300000</v>
      </c>
      <c r="R65" s="3">
        <v>50000</v>
      </c>
      <c r="S65" s="12">
        <f>50000+50000+50000+50000+50000</f>
        <v>250000</v>
      </c>
      <c r="T65" s="26">
        <f t="shared" si="4"/>
        <v>250000</v>
      </c>
      <c r="U65" s="26">
        <v>0</v>
      </c>
      <c r="V65" s="26"/>
      <c r="W65" s="22">
        <f t="shared" si="2"/>
        <v>0</v>
      </c>
      <c r="X65" s="11">
        <f t="shared" si="3"/>
        <v>3</v>
      </c>
    </row>
    <row r="66" spans="1:24" ht="18.75" x14ac:dyDescent="0.3">
      <c r="A66" s="1">
        <v>64</v>
      </c>
      <c r="B66" s="1" t="s">
        <v>64</v>
      </c>
      <c r="C66" s="12">
        <v>150000</v>
      </c>
      <c r="D66" s="12"/>
      <c r="E66" s="12"/>
      <c r="F66" s="12"/>
      <c r="G66" s="12"/>
      <c r="H66" s="12">
        <v>50000</v>
      </c>
      <c r="I66" s="12"/>
      <c r="J66" s="12"/>
      <c r="K66" s="12"/>
      <c r="L66" s="12"/>
      <c r="M66" s="12"/>
      <c r="N66" s="12"/>
      <c r="O66" s="12"/>
      <c r="P66" s="12">
        <f t="shared" si="0"/>
        <v>200000</v>
      </c>
      <c r="Q66" s="2">
        <v>100000</v>
      </c>
      <c r="R66" s="3">
        <v>50000</v>
      </c>
      <c r="S66" s="12">
        <v>50000</v>
      </c>
      <c r="T66" s="26">
        <f t="shared" si="4"/>
        <v>50000</v>
      </c>
      <c r="U66" s="26">
        <v>0</v>
      </c>
      <c r="V66" s="26"/>
      <c r="W66" s="22">
        <f t="shared" si="2"/>
        <v>0</v>
      </c>
      <c r="X66" s="11">
        <f t="shared" si="3"/>
        <v>1</v>
      </c>
    </row>
    <row r="67" spans="1:24" ht="18.75" x14ac:dyDescent="0.3">
      <c r="A67" s="1">
        <v>65</v>
      </c>
      <c r="B67" s="1" t="s">
        <v>65</v>
      </c>
      <c r="C67" s="12">
        <v>450000</v>
      </c>
      <c r="D67" s="12"/>
      <c r="E67" s="12"/>
      <c r="F67" s="12">
        <v>100000</v>
      </c>
      <c r="G67" s="12">
        <v>100000</v>
      </c>
      <c r="H67" s="12">
        <v>100000</v>
      </c>
      <c r="I67" s="12"/>
      <c r="J67" s="12"/>
      <c r="K67" s="12"/>
      <c r="L67" s="12"/>
      <c r="M67" s="12"/>
      <c r="N67" s="12"/>
      <c r="O67" s="12"/>
      <c r="P67" s="12">
        <f t="shared" ref="P67:P130" si="5">SUM(C67:O67)</f>
        <v>750000</v>
      </c>
      <c r="Q67" s="2">
        <f>200000+100000</f>
        <v>300000</v>
      </c>
      <c r="R67" s="3">
        <v>50000</v>
      </c>
      <c r="S67" s="12">
        <f>100000+100000+100000+100000</f>
        <v>400000</v>
      </c>
      <c r="T67" s="26">
        <f t="shared" ref="T67:T98" si="6">S67-U67</f>
        <v>250000</v>
      </c>
      <c r="U67" s="26">
        <f>S67-250000</f>
        <v>150000</v>
      </c>
      <c r="V67" s="26"/>
      <c r="W67" s="22">
        <f t="shared" ref="W67:W130" si="7">P67-(Q67+R67+S67)</f>
        <v>0</v>
      </c>
      <c r="X67" s="11">
        <f t="shared" ref="X67:X130" si="8">Q67/100000</f>
        <v>3</v>
      </c>
    </row>
    <row r="68" spans="1:24" ht="18.75" x14ac:dyDescent="0.3">
      <c r="A68" s="1">
        <v>66</v>
      </c>
      <c r="B68" s="1" t="s">
        <v>66</v>
      </c>
      <c r="C68" s="12">
        <v>250000</v>
      </c>
      <c r="D68" s="12"/>
      <c r="E68" s="12">
        <v>100000</v>
      </c>
      <c r="F68" s="12"/>
      <c r="G68" s="12"/>
      <c r="H68" s="12">
        <v>200000</v>
      </c>
      <c r="I68" s="12"/>
      <c r="J68" s="12"/>
      <c r="K68" s="12"/>
      <c r="L68" s="12"/>
      <c r="M68" s="12"/>
      <c r="N68" s="12"/>
      <c r="O68" s="12"/>
      <c r="P68" s="12">
        <f t="shared" si="5"/>
        <v>550000</v>
      </c>
      <c r="Q68" s="2">
        <f>100000+100000</f>
        <v>200000</v>
      </c>
      <c r="R68" s="3">
        <v>50000</v>
      </c>
      <c r="S68" s="12">
        <f>100000+200000</f>
        <v>300000</v>
      </c>
      <c r="T68" s="26">
        <f t="shared" si="6"/>
        <v>300000</v>
      </c>
      <c r="U68" s="26">
        <v>0</v>
      </c>
      <c r="V68" s="26"/>
      <c r="W68" s="22">
        <f t="shared" si="7"/>
        <v>0</v>
      </c>
      <c r="X68" s="11">
        <f t="shared" si="8"/>
        <v>2</v>
      </c>
    </row>
    <row r="69" spans="1:24" s="163" customFormat="1" ht="18.75" x14ac:dyDescent="0.3">
      <c r="A69" s="156">
        <v>67</v>
      </c>
      <c r="B69" s="156" t="s">
        <v>67</v>
      </c>
      <c r="C69" s="157">
        <v>150000</v>
      </c>
      <c r="D69" s="157">
        <v>100000</v>
      </c>
      <c r="E69" s="157"/>
      <c r="F69" s="157">
        <v>200000</v>
      </c>
      <c r="G69" s="157">
        <f>10000+100000</f>
        <v>110000</v>
      </c>
      <c r="H69" s="157">
        <f>100000+100000</f>
        <v>200000</v>
      </c>
      <c r="I69" s="157"/>
      <c r="J69" s="157">
        <v>200000</v>
      </c>
      <c r="K69" s="157"/>
      <c r="L69" s="157"/>
      <c r="M69" s="157"/>
      <c r="N69" s="157"/>
      <c r="O69" s="157"/>
      <c r="P69" s="157">
        <f t="shared" si="5"/>
        <v>960000</v>
      </c>
      <c r="Q69" s="158">
        <v>100000</v>
      </c>
      <c r="R69" s="159">
        <v>50000</v>
      </c>
      <c r="S69" s="157">
        <f>100000+200000+10000+100000+100000+100000+200000</f>
        <v>810000</v>
      </c>
      <c r="T69" s="160">
        <f t="shared" si="6"/>
        <v>600000</v>
      </c>
      <c r="U69" s="160">
        <v>210000</v>
      </c>
      <c r="V69" s="160"/>
      <c r="W69" s="161">
        <f t="shared" si="7"/>
        <v>0</v>
      </c>
      <c r="X69" s="162">
        <f t="shared" si="8"/>
        <v>1</v>
      </c>
    </row>
    <row r="70" spans="1:24" ht="18.75" x14ac:dyDescent="0.3">
      <c r="A70" s="1">
        <v>68</v>
      </c>
      <c r="B70" s="1" t="s">
        <v>68</v>
      </c>
      <c r="C70" s="12">
        <v>250000</v>
      </c>
      <c r="D70" s="12"/>
      <c r="E70" s="12"/>
      <c r="F70" s="12">
        <v>892000</v>
      </c>
      <c r="G70" s="12">
        <f>1160000+2000000+400000-1000000</f>
        <v>2560000</v>
      </c>
      <c r="H70" s="12">
        <f>-1500000+1100000+1000000</f>
        <v>600000</v>
      </c>
      <c r="I70" s="12">
        <f>2000000+800000+150000+3000000-2800000</f>
        <v>3150000</v>
      </c>
      <c r="J70" s="12"/>
      <c r="K70" s="12"/>
      <c r="L70" s="12"/>
      <c r="M70" s="12"/>
      <c r="N70" s="12"/>
      <c r="O70" s="12"/>
      <c r="P70" s="12">
        <f t="shared" si="5"/>
        <v>7452000</v>
      </c>
      <c r="Q70" s="2">
        <v>200000</v>
      </c>
      <c r="R70" s="3">
        <v>50000</v>
      </c>
      <c r="S70" s="12">
        <f>892000+1160000+2000000+400000-1000000-1500000+1100000+1000000+2000000+800000+150000+3000000-2800000</f>
        <v>7202000</v>
      </c>
      <c r="T70" s="26">
        <f t="shared" si="6"/>
        <v>3450000</v>
      </c>
      <c r="U70" s="26">
        <v>3752000</v>
      </c>
      <c r="V70" s="26">
        <f>1000000+1500000+2800000</f>
        <v>5300000</v>
      </c>
      <c r="W70" s="22">
        <f t="shared" si="7"/>
        <v>0</v>
      </c>
      <c r="X70" s="11">
        <f t="shared" si="8"/>
        <v>2</v>
      </c>
    </row>
    <row r="71" spans="1:24" ht="18.75" x14ac:dyDescent="0.3">
      <c r="A71" s="1">
        <v>69</v>
      </c>
      <c r="B71" s="1" t="s">
        <v>69</v>
      </c>
      <c r="C71" s="12">
        <v>250000</v>
      </c>
      <c r="D71" s="12"/>
      <c r="E71" s="12"/>
      <c r="F71" s="12">
        <v>100000</v>
      </c>
      <c r="G71" s="12">
        <f>100000+100000</f>
        <v>200000</v>
      </c>
      <c r="H71" s="12">
        <v>100000</v>
      </c>
      <c r="I71" s="12">
        <v>102000</v>
      </c>
      <c r="J71" s="12"/>
      <c r="K71" s="12"/>
      <c r="L71" s="12"/>
      <c r="M71" s="12"/>
      <c r="N71" s="12"/>
      <c r="O71" s="12"/>
      <c r="P71" s="12">
        <f t="shared" si="5"/>
        <v>752000</v>
      </c>
      <c r="Q71" s="2">
        <v>100000</v>
      </c>
      <c r="R71" s="3">
        <v>50000</v>
      </c>
      <c r="S71" s="12">
        <f>100000+100000+100000+100000+100000+102000</f>
        <v>602000</v>
      </c>
      <c r="T71" s="26">
        <f t="shared" si="6"/>
        <v>200000</v>
      </c>
      <c r="U71" s="26">
        <f>S71-200000</f>
        <v>402000</v>
      </c>
      <c r="V71" s="26"/>
      <c r="W71" s="22">
        <f t="shared" si="7"/>
        <v>0</v>
      </c>
      <c r="X71" s="11">
        <f t="shared" si="8"/>
        <v>1</v>
      </c>
    </row>
    <row r="72" spans="1:24" ht="18.75" x14ac:dyDescent="0.3">
      <c r="A72" s="1">
        <v>70</v>
      </c>
      <c r="B72" s="1" t="s">
        <v>70</v>
      </c>
      <c r="C72" s="12">
        <v>2050000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>
        <f t="shared" si="5"/>
        <v>2050000</v>
      </c>
      <c r="Q72" s="2">
        <v>2000000</v>
      </c>
      <c r="R72" s="3">
        <v>50000</v>
      </c>
      <c r="S72" s="12"/>
      <c r="T72" s="26">
        <f t="shared" si="6"/>
        <v>0</v>
      </c>
      <c r="U72" s="26">
        <v>0</v>
      </c>
      <c r="V72" s="26"/>
      <c r="W72" s="22">
        <f t="shared" si="7"/>
        <v>0</v>
      </c>
      <c r="X72" s="11">
        <f t="shared" si="8"/>
        <v>20</v>
      </c>
    </row>
    <row r="73" spans="1:24" ht="18.75" x14ac:dyDescent="0.3">
      <c r="A73" s="1">
        <v>71</v>
      </c>
      <c r="B73" s="1" t="s">
        <v>318</v>
      </c>
      <c r="C73" s="12">
        <v>18000000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>
        <f t="shared" si="5"/>
        <v>18000000</v>
      </c>
      <c r="Q73" s="2">
        <v>18000000</v>
      </c>
      <c r="R73" s="3"/>
      <c r="S73" s="12"/>
      <c r="T73" s="26">
        <f t="shared" si="6"/>
        <v>0</v>
      </c>
      <c r="U73" s="26">
        <v>0</v>
      </c>
      <c r="V73" s="26"/>
      <c r="W73" s="22">
        <f t="shared" si="7"/>
        <v>0</v>
      </c>
      <c r="X73" s="11">
        <f t="shared" si="8"/>
        <v>180</v>
      </c>
    </row>
    <row r="74" spans="1:24" ht="18.75" x14ac:dyDescent="0.3">
      <c r="A74" s="1">
        <v>72</v>
      </c>
      <c r="B74" s="1" t="s">
        <v>319</v>
      </c>
      <c r="C74" s="12">
        <v>12450000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>
        <f t="shared" si="5"/>
        <v>12450000</v>
      </c>
      <c r="Q74" s="2">
        <v>12400000</v>
      </c>
      <c r="R74" s="3"/>
      <c r="S74" s="12">
        <v>50000</v>
      </c>
      <c r="T74" s="26">
        <f t="shared" si="6"/>
        <v>50000</v>
      </c>
      <c r="U74" s="26">
        <f>S74-50000</f>
        <v>0</v>
      </c>
      <c r="V74" s="26"/>
      <c r="W74" s="22">
        <f t="shared" si="7"/>
        <v>0</v>
      </c>
      <c r="X74" s="11">
        <f t="shared" si="8"/>
        <v>124</v>
      </c>
    </row>
    <row r="75" spans="1:24" ht="18.75" x14ac:dyDescent="0.3">
      <c r="A75" s="1">
        <v>73</v>
      </c>
      <c r="B75" s="1" t="s">
        <v>71</v>
      </c>
      <c r="C75" s="12">
        <v>250000</v>
      </c>
      <c r="D75" s="12"/>
      <c r="E75" s="12">
        <v>100000</v>
      </c>
      <c r="F75" s="12"/>
      <c r="G75" s="12">
        <v>300000</v>
      </c>
      <c r="H75" s="12"/>
      <c r="I75" s="12">
        <v>250000</v>
      </c>
      <c r="J75" s="12"/>
      <c r="K75" s="12"/>
      <c r="L75" s="12"/>
      <c r="M75" s="12"/>
      <c r="N75" s="12"/>
      <c r="O75" s="12"/>
      <c r="P75" s="12">
        <f t="shared" si="5"/>
        <v>900000</v>
      </c>
      <c r="Q75" s="8">
        <f>100000+100000</f>
        <v>200000</v>
      </c>
      <c r="R75" s="3">
        <v>50000</v>
      </c>
      <c r="S75" s="12">
        <f>100000+300000+250000</f>
        <v>650000</v>
      </c>
      <c r="T75" s="26">
        <f t="shared" si="6"/>
        <v>450000</v>
      </c>
      <c r="U75" s="26">
        <v>200000</v>
      </c>
      <c r="V75" s="26"/>
      <c r="W75" s="22">
        <f t="shared" si="7"/>
        <v>0</v>
      </c>
      <c r="X75" s="11">
        <f t="shared" si="8"/>
        <v>2</v>
      </c>
    </row>
    <row r="76" spans="1:24" ht="18.75" x14ac:dyDescent="0.3">
      <c r="A76" s="1">
        <v>74</v>
      </c>
      <c r="B76" s="1" t="s">
        <v>72</v>
      </c>
      <c r="C76" s="12">
        <v>9050000</v>
      </c>
      <c r="D76" s="12"/>
      <c r="E76" s="12">
        <v>100000</v>
      </c>
      <c r="F76" s="12">
        <v>100000</v>
      </c>
      <c r="G76" s="12">
        <v>100000</v>
      </c>
      <c r="H76" s="12">
        <v>200000</v>
      </c>
      <c r="I76" s="12">
        <v>200000</v>
      </c>
      <c r="J76" s="12"/>
      <c r="K76" s="12"/>
      <c r="L76" s="12"/>
      <c r="M76" s="12"/>
      <c r="N76" s="12"/>
      <c r="O76" s="12"/>
      <c r="P76" s="12">
        <f t="shared" si="5"/>
        <v>9750000</v>
      </c>
      <c r="Q76" s="2">
        <f>4500000+4500000</f>
        <v>9000000</v>
      </c>
      <c r="R76" s="3">
        <v>50000</v>
      </c>
      <c r="S76" s="12">
        <f>100000+100000+100000+200000+200000</f>
        <v>700000</v>
      </c>
      <c r="T76" s="26">
        <f t="shared" si="6"/>
        <v>600000</v>
      </c>
      <c r="U76" s="26">
        <v>100000</v>
      </c>
      <c r="V76" s="26"/>
      <c r="W76" s="22">
        <f t="shared" si="7"/>
        <v>0</v>
      </c>
      <c r="X76" s="11">
        <f t="shared" si="8"/>
        <v>90</v>
      </c>
    </row>
    <row r="77" spans="1:24" s="132" customFormat="1" ht="18.75" x14ac:dyDescent="0.3">
      <c r="A77" s="126">
        <v>75</v>
      </c>
      <c r="B77" s="140" t="s">
        <v>73</v>
      </c>
      <c r="C77" s="141">
        <v>150000</v>
      </c>
      <c r="D77" s="141"/>
      <c r="E77" s="141"/>
      <c r="F77" s="141"/>
      <c r="G77" s="141"/>
      <c r="H77" s="141"/>
      <c r="I77" s="141">
        <f>100000+50000</f>
        <v>150000</v>
      </c>
      <c r="J77" s="141">
        <v>100000</v>
      </c>
      <c r="K77" s="141"/>
      <c r="L77" s="141"/>
      <c r="M77" s="141"/>
      <c r="N77" s="141"/>
      <c r="O77" s="141"/>
      <c r="P77" s="113">
        <f t="shared" si="5"/>
        <v>400000</v>
      </c>
      <c r="Q77" s="127">
        <v>100000</v>
      </c>
      <c r="R77" s="142">
        <v>50000</v>
      </c>
      <c r="S77" s="113">
        <f>100000+50000+100000</f>
        <v>250000</v>
      </c>
      <c r="T77" s="129">
        <f t="shared" si="6"/>
        <v>250000</v>
      </c>
      <c r="U77" s="129">
        <v>0</v>
      </c>
      <c r="V77" s="129"/>
      <c r="W77" s="130">
        <f t="shared" si="7"/>
        <v>0</v>
      </c>
      <c r="X77" s="131">
        <f t="shared" si="8"/>
        <v>1</v>
      </c>
    </row>
    <row r="78" spans="1:24" s="132" customFormat="1" ht="18.75" x14ac:dyDescent="0.3">
      <c r="A78" s="126">
        <v>76</v>
      </c>
      <c r="B78" s="126" t="s">
        <v>74</v>
      </c>
      <c r="C78" s="113">
        <v>350000</v>
      </c>
      <c r="D78" s="113">
        <v>150000</v>
      </c>
      <c r="E78" s="113"/>
      <c r="F78" s="113"/>
      <c r="G78" s="113">
        <v>100000</v>
      </c>
      <c r="H78" s="113">
        <v>105000</v>
      </c>
      <c r="I78" s="113">
        <v>100000</v>
      </c>
      <c r="J78" s="113">
        <v>100000</v>
      </c>
      <c r="K78" s="113"/>
      <c r="L78" s="113"/>
      <c r="M78" s="113"/>
      <c r="N78" s="113"/>
      <c r="O78" s="113"/>
      <c r="P78" s="113">
        <f t="shared" si="5"/>
        <v>905000</v>
      </c>
      <c r="Q78" s="127">
        <f>100000+100000+100000</f>
        <v>300000</v>
      </c>
      <c r="R78" s="128">
        <v>50000</v>
      </c>
      <c r="S78" s="113">
        <f>150000+100000+105000+100000+100000</f>
        <v>555000</v>
      </c>
      <c r="T78" s="129">
        <f t="shared" si="6"/>
        <v>200000</v>
      </c>
      <c r="U78" s="129">
        <f>S78-200000</f>
        <v>355000</v>
      </c>
      <c r="V78" s="129"/>
      <c r="W78" s="130">
        <f t="shared" si="7"/>
        <v>0</v>
      </c>
      <c r="X78" s="131">
        <f t="shared" si="8"/>
        <v>3</v>
      </c>
    </row>
    <row r="79" spans="1:24" ht="18.75" x14ac:dyDescent="0.3">
      <c r="A79" s="1">
        <v>77</v>
      </c>
      <c r="B79" s="1" t="s">
        <v>76</v>
      </c>
      <c r="C79" s="12">
        <v>550000</v>
      </c>
      <c r="D79" s="12">
        <v>50000</v>
      </c>
      <c r="E79" s="12">
        <v>100000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>
        <f t="shared" si="5"/>
        <v>700000</v>
      </c>
      <c r="Q79" s="2">
        <f>200000+300000</f>
        <v>500000</v>
      </c>
      <c r="R79" s="3">
        <v>50000</v>
      </c>
      <c r="S79" s="12">
        <f>100000+50000</f>
        <v>150000</v>
      </c>
      <c r="T79" s="26">
        <f>S79-U79</f>
        <v>100000</v>
      </c>
      <c r="U79" s="26">
        <v>50000</v>
      </c>
      <c r="V79" s="26"/>
      <c r="W79" s="22">
        <f t="shared" si="7"/>
        <v>0</v>
      </c>
      <c r="X79" s="11">
        <f t="shared" si="8"/>
        <v>5</v>
      </c>
    </row>
    <row r="80" spans="1:24" ht="18.75" x14ac:dyDescent="0.3">
      <c r="A80" s="1">
        <v>78</v>
      </c>
      <c r="B80" s="1" t="s">
        <v>78</v>
      </c>
      <c r="C80" s="12">
        <v>150000</v>
      </c>
      <c r="D80" s="12"/>
      <c r="E80" s="12"/>
      <c r="F80" s="12">
        <v>102000</v>
      </c>
      <c r="G80" s="12"/>
      <c r="H80" s="12"/>
      <c r="I80" s="12">
        <v>100000</v>
      </c>
      <c r="J80" s="12"/>
      <c r="K80" s="12"/>
      <c r="L80" s="12"/>
      <c r="M80" s="12"/>
      <c r="N80" s="12"/>
      <c r="O80" s="12"/>
      <c r="P80" s="12">
        <f t="shared" si="5"/>
        <v>352000</v>
      </c>
      <c r="Q80" s="2">
        <v>100000</v>
      </c>
      <c r="R80" s="3">
        <v>50000</v>
      </c>
      <c r="S80" s="12">
        <f>102000+100000</f>
        <v>202000</v>
      </c>
      <c r="T80" s="26">
        <f t="shared" si="6"/>
        <v>202000</v>
      </c>
      <c r="U80" s="26">
        <v>0</v>
      </c>
      <c r="V80" s="26"/>
      <c r="W80" s="22">
        <f t="shared" si="7"/>
        <v>0</v>
      </c>
      <c r="X80" s="11">
        <f t="shared" si="8"/>
        <v>1</v>
      </c>
    </row>
    <row r="81" spans="1:24" ht="18.75" x14ac:dyDescent="0.3">
      <c r="A81" s="1">
        <v>79</v>
      </c>
      <c r="B81" s="1" t="s">
        <v>79</v>
      </c>
      <c r="C81" s="12">
        <v>250000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>
        <f t="shared" si="5"/>
        <v>250000</v>
      </c>
      <c r="Q81" s="2">
        <f>100000+100000</f>
        <v>200000</v>
      </c>
      <c r="R81" s="3">
        <v>50000</v>
      </c>
      <c r="S81" s="12"/>
      <c r="T81" s="26">
        <f t="shared" si="6"/>
        <v>0</v>
      </c>
      <c r="U81" s="26">
        <v>0</v>
      </c>
      <c r="V81" s="26"/>
      <c r="W81" s="22">
        <f t="shared" si="7"/>
        <v>0</v>
      </c>
      <c r="X81" s="11">
        <f t="shared" si="8"/>
        <v>2</v>
      </c>
    </row>
    <row r="82" spans="1:24" ht="18.75" x14ac:dyDescent="0.3">
      <c r="A82" s="1">
        <v>80</v>
      </c>
      <c r="B82" s="1" t="s">
        <v>80</v>
      </c>
      <c r="C82" s="12">
        <v>6300000</v>
      </c>
      <c r="D82" s="12"/>
      <c r="E82" s="12">
        <v>1750000</v>
      </c>
      <c r="F82" s="12">
        <v>1500000</v>
      </c>
      <c r="G82" s="12">
        <f>250000+200000+250000</f>
        <v>700000</v>
      </c>
      <c r="H82" s="12"/>
      <c r="I82" s="12"/>
      <c r="J82" s="12"/>
      <c r="K82" s="12"/>
      <c r="L82" s="12"/>
      <c r="M82" s="12"/>
      <c r="N82" s="12"/>
      <c r="O82" s="12"/>
      <c r="P82" s="12">
        <f t="shared" si="5"/>
        <v>10250000</v>
      </c>
      <c r="Q82" s="2">
        <f>1000000+3500000+1500000+1500000+1500000</f>
        <v>9000000</v>
      </c>
      <c r="R82" s="3">
        <v>50000</v>
      </c>
      <c r="S82" s="12">
        <f>250000+250000+250000+200000+250000</f>
        <v>1200000</v>
      </c>
      <c r="T82" s="26">
        <f t="shared" si="6"/>
        <v>200000</v>
      </c>
      <c r="U82" s="26">
        <f>S82-200000</f>
        <v>1000000</v>
      </c>
      <c r="V82" s="26"/>
      <c r="W82" s="22">
        <f t="shared" si="7"/>
        <v>0</v>
      </c>
      <c r="X82" s="11">
        <f t="shared" si="8"/>
        <v>90</v>
      </c>
    </row>
    <row r="83" spans="1:24" ht="18.75" x14ac:dyDescent="0.3">
      <c r="A83" s="1">
        <v>81</v>
      </c>
      <c r="B83" s="1" t="s">
        <v>81</v>
      </c>
      <c r="C83" s="12">
        <v>400000</v>
      </c>
      <c r="D83" s="12"/>
      <c r="E83" s="12">
        <v>65000</v>
      </c>
      <c r="F83" s="12">
        <v>50000</v>
      </c>
      <c r="G83" s="12"/>
      <c r="H83" s="12">
        <v>50000</v>
      </c>
      <c r="I83" s="12">
        <v>50000</v>
      </c>
      <c r="J83" s="12"/>
      <c r="K83" s="12"/>
      <c r="L83" s="12"/>
      <c r="M83" s="12"/>
      <c r="N83" s="12"/>
      <c r="O83" s="12"/>
      <c r="P83" s="12">
        <f t="shared" si="5"/>
        <v>615000</v>
      </c>
      <c r="Q83" s="2">
        <f>200000+100000</f>
        <v>300000</v>
      </c>
      <c r="R83" s="3">
        <v>50000</v>
      </c>
      <c r="S83" s="12">
        <f>50000+65000+50000+50000+50000</f>
        <v>265000</v>
      </c>
      <c r="T83" s="26">
        <f t="shared" si="6"/>
        <v>150000</v>
      </c>
      <c r="U83" s="26">
        <f>S83-150000</f>
        <v>115000</v>
      </c>
      <c r="V83" s="26"/>
      <c r="W83" s="22">
        <f t="shared" si="7"/>
        <v>0</v>
      </c>
      <c r="X83" s="11">
        <f t="shared" si="8"/>
        <v>3</v>
      </c>
    </row>
    <row r="84" spans="1:24" ht="18.75" x14ac:dyDescent="0.3">
      <c r="A84" s="1">
        <v>82</v>
      </c>
      <c r="B84" s="1" t="s">
        <v>82</v>
      </c>
      <c r="C84" s="12">
        <v>150000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>
        <f t="shared" si="5"/>
        <v>150000</v>
      </c>
      <c r="Q84" s="2">
        <v>100000</v>
      </c>
      <c r="R84" s="3">
        <v>50000</v>
      </c>
      <c r="S84" s="12"/>
      <c r="T84" s="26">
        <f t="shared" si="6"/>
        <v>0</v>
      </c>
      <c r="U84" s="26">
        <v>0</v>
      </c>
      <c r="V84" s="26"/>
      <c r="W84" s="22">
        <f t="shared" si="7"/>
        <v>0</v>
      </c>
      <c r="X84" s="11">
        <f t="shared" si="8"/>
        <v>1</v>
      </c>
    </row>
    <row r="85" spans="1:24" ht="18.75" x14ac:dyDescent="0.3">
      <c r="A85" s="1">
        <v>83</v>
      </c>
      <c r="B85" s="1" t="s">
        <v>83</v>
      </c>
      <c r="C85" s="12">
        <v>550000</v>
      </c>
      <c r="D85" s="12">
        <v>50000</v>
      </c>
      <c r="E85" s="12"/>
      <c r="F85" s="12">
        <v>60000</v>
      </c>
      <c r="G85" s="12"/>
      <c r="H85" s="12"/>
      <c r="I85" s="12"/>
      <c r="J85" s="12"/>
      <c r="K85" s="12"/>
      <c r="L85" s="12"/>
      <c r="M85" s="12"/>
      <c r="N85" s="12"/>
      <c r="O85" s="12"/>
      <c r="P85" s="12">
        <f t="shared" si="5"/>
        <v>660000</v>
      </c>
      <c r="Q85" s="2">
        <f>100000+400000</f>
        <v>500000</v>
      </c>
      <c r="R85" s="3">
        <v>50000</v>
      </c>
      <c r="S85" s="12">
        <f>50000+60000</f>
        <v>110000</v>
      </c>
      <c r="T85" s="26">
        <f t="shared" si="6"/>
        <v>100000</v>
      </c>
      <c r="U85" s="26">
        <f>S85-100000</f>
        <v>10000</v>
      </c>
      <c r="V85" s="26"/>
      <c r="W85" s="22">
        <f t="shared" si="7"/>
        <v>0</v>
      </c>
      <c r="X85" s="11">
        <f t="shared" si="8"/>
        <v>5</v>
      </c>
    </row>
    <row r="86" spans="1:24" ht="19.5" customHeight="1" x14ac:dyDescent="0.3">
      <c r="A86" s="1">
        <v>84</v>
      </c>
      <c r="B86" s="1" t="s">
        <v>84</v>
      </c>
      <c r="C86" s="12">
        <v>1100000</v>
      </c>
      <c r="D86" s="12"/>
      <c r="E86" s="12"/>
      <c r="F86" s="12">
        <v>500000</v>
      </c>
      <c r="G86" s="12"/>
      <c r="H86" s="12">
        <v>490000</v>
      </c>
      <c r="I86" s="12">
        <v>500000</v>
      </c>
      <c r="J86" s="12"/>
      <c r="K86" s="12"/>
      <c r="L86" s="12"/>
      <c r="M86" s="12"/>
      <c r="N86" s="12"/>
      <c r="O86" s="12"/>
      <c r="P86" s="12">
        <f t="shared" si="5"/>
        <v>2590000</v>
      </c>
      <c r="Q86" s="2">
        <v>500000</v>
      </c>
      <c r="R86" s="3">
        <v>50000</v>
      </c>
      <c r="S86" s="12">
        <f>50000+1000000-500000+500000+490000+500000</f>
        <v>2040000</v>
      </c>
      <c r="T86" s="26">
        <f t="shared" si="6"/>
        <v>250000</v>
      </c>
      <c r="U86" s="26">
        <f>S86-250000</f>
        <v>1790000</v>
      </c>
      <c r="V86" s="26"/>
      <c r="W86" s="22">
        <f t="shared" si="7"/>
        <v>0</v>
      </c>
      <c r="X86" s="11">
        <f t="shared" si="8"/>
        <v>5</v>
      </c>
    </row>
    <row r="87" spans="1:24" ht="19.5" customHeight="1" x14ac:dyDescent="0.3">
      <c r="A87" s="1">
        <v>85</v>
      </c>
      <c r="B87" s="1" t="s">
        <v>85</v>
      </c>
      <c r="C87" s="12">
        <v>150000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>
        <f t="shared" si="5"/>
        <v>150000</v>
      </c>
      <c r="Q87" s="2">
        <v>100000</v>
      </c>
      <c r="R87" s="3">
        <v>50000</v>
      </c>
      <c r="S87" s="12"/>
      <c r="T87" s="26">
        <f t="shared" si="6"/>
        <v>0</v>
      </c>
      <c r="U87" s="26">
        <v>0</v>
      </c>
      <c r="V87" s="26"/>
      <c r="W87" s="22">
        <f t="shared" si="7"/>
        <v>0</v>
      </c>
      <c r="X87" s="11">
        <f t="shared" si="8"/>
        <v>1</v>
      </c>
    </row>
    <row r="88" spans="1:24" ht="19.5" customHeight="1" x14ac:dyDescent="0.3">
      <c r="A88" s="1">
        <v>86</v>
      </c>
      <c r="B88" s="1" t="s">
        <v>86</v>
      </c>
      <c r="C88" s="12">
        <v>9050000</v>
      </c>
      <c r="D88" s="12"/>
      <c r="E88" s="12">
        <f>4500000+2000000</f>
        <v>6500000</v>
      </c>
      <c r="F88" s="12">
        <v>2500000</v>
      </c>
      <c r="G88" s="12"/>
      <c r="H88" s="12"/>
      <c r="I88" s="12"/>
      <c r="J88" s="12"/>
      <c r="K88" s="12"/>
      <c r="L88" s="12"/>
      <c r="M88" s="12"/>
      <c r="N88" s="12"/>
      <c r="O88" s="12"/>
      <c r="P88" s="12">
        <f t="shared" si="5"/>
        <v>18050000</v>
      </c>
      <c r="Q88" s="8">
        <f>4500000+4500000+4500000+2000000+2500000</f>
        <v>18000000</v>
      </c>
      <c r="R88" s="6">
        <v>50000</v>
      </c>
      <c r="S88" s="12"/>
      <c r="T88" s="26">
        <f t="shared" si="6"/>
        <v>0</v>
      </c>
      <c r="U88" s="26">
        <v>0</v>
      </c>
      <c r="V88" s="26"/>
      <c r="W88" s="22">
        <f t="shared" si="7"/>
        <v>0</v>
      </c>
      <c r="X88" s="11">
        <f t="shared" si="8"/>
        <v>180</v>
      </c>
    </row>
    <row r="89" spans="1:24" ht="19.5" customHeight="1" x14ac:dyDescent="0.3">
      <c r="A89" s="1">
        <v>87</v>
      </c>
      <c r="B89" s="1" t="s">
        <v>87</v>
      </c>
      <c r="C89" s="12">
        <v>200000</v>
      </c>
      <c r="D89" s="12"/>
      <c r="E89" s="12"/>
      <c r="F89" s="12"/>
      <c r="G89" s="12"/>
      <c r="H89" s="12">
        <v>250000</v>
      </c>
      <c r="I89" s="12"/>
      <c r="J89" s="12"/>
      <c r="K89" s="12"/>
      <c r="L89" s="12"/>
      <c r="M89" s="12"/>
      <c r="N89" s="12"/>
      <c r="O89" s="12"/>
      <c r="P89" s="12">
        <f t="shared" si="5"/>
        <v>450000</v>
      </c>
      <c r="Q89" s="2">
        <v>100000</v>
      </c>
      <c r="R89" s="3">
        <v>50000</v>
      </c>
      <c r="S89" s="12">
        <f>50000+250000</f>
        <v>300000</v>
      </c>
      <c r="T89" s="26">
        <f t="shared" si="6"/>
        <v>250000</v>
      </c>
      <c r="U89" s="26">
        <f>S89-250000</f>
        <v>50000</v>
      </c>
      <c r="V89" s="26"/>
      <c r="W89" s="22">
        <f t="shared" si="7"/>
        <v>0</v>
      </c>
      <c r="X89" s="11">
        <f t="shared" si="8"/>
        <v>1</v>
      </c>
    </row>
    <row r="90" spans="1:24" s="58" customFormat="1" ht="18.75" customHeight="1" x14ac:dyDescent="0.3">
      <c r="A90" s="34">
        <v>88</v>
      </c>
      <c r="B90" s="1" t="s">
        <v>88</v>
      </c>
      <c r="C90" s="12">
        <v>1050000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>
        <f t="shared" si="5"/>
        <v>1050000</v>
      </c>
      <c r="Q90" s="2">
        <v>1000000</v>
      </c>
      <c r="R90" s="3">
        <v>50000</v>
      </c>
      <c r="S90" s="12"/>
      <c r="T90" s="26">
        <f t="shared" si="6"/>
        <v>0</v>
      </c>
      <c r="U90" s="26">
        <v>0</v>
      </c>
      <c r="V90" s="26"/>
      <c r="W90" s="22">
        <f t="shared" si="7"/>
        <v>0</v>
      </c>
      <c r="X90" s="11">
        <f t="shared" si="8"/>
        <v>10</v>
      </c>
    </row>
    <row r="91" spans="1:24" ht="18.75" x14ac:dyDescent="0.3">
      <c r="A91" s="1">
        <v>89</v>
      </c>
      <c r="B91" s="1" t="s">
        <v>15</v>
      </c>
      <c r="C91" s="12">
        <v>700000</v>
      </c>
      <c r="D91" s="12">
        <v>55000</v>
      </c>
      <c r="E91" s="12">
        <v>104000</v>
      </c>
      <c r="F91" s="12"/>
      <c r="G91" s="12">
        <v>52000</v>
      </c>
      <c r="H91" s="12">
        <v>57000</v>
      </c>
      <c r="I91" s="12"/>
      <c r="J91" s="12"/>
      <c r="K91" s="12"/>
      <c r="L91" s="12"/>
      <c r="M91" s="12"/>
      <c r="N91" s="12"/>
      <c r="O91" s="12"/>
      <c r="P91" s="12">
        <f t="shared" si="5"/>
        <v>968000</v>
      </c>
      <c r="Q91" s="2">
        <f>100000+500000</f>
        <v>600000</v>
      </c>
      <c r="R91" s="3">
        <v>50000</v>
      </c>
      <c r="S91" s="12">
        <f>50000+55000+104000+52000+57000</f>
        <v>318000</v>
      </c>
      <c r="T91" s="26">
        <f t="shared" si="6"/>
        <v>250000</v>
      </c>
      <c r="U91" s="26">
        <f>S91-250000</f>
        <v>68000</v>
      </c>
      <c r="V91" s="26"/>
      <c r="W91" s="22">
        <f t="shared" si="7"/>
        <v>0</v>
      </c>
      <c r="X91" s="11">
        <f t="shared" si="8"/>
        <v>6</v>
      </c>
    </row>
    <row r="92" spans="1:24" ht="21" customHeight="1" x14ac:dyDescent="0.3">
      <c r="A92" s="1">
        <v>90</v>
      </c>
      <c r="B92" s="1" t="s">
        <v>89</v>
      </c>
      <c r="C92" s="12">
        <v>250000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>
        <f t="shared" si="5"/>
        <v>250000</v>
      </c>
      <c r="Q92" s="2">
        <v>200000</v>
      </c>
      <c r="R92" s="3">
        <v>50000</v>
      </c>
      <c r="S92" s="12"/>
      <c r="T92" s="26">
        <f t="shared" si="6"/>
        <v>0</v>
      </c>
      <c r="U92" s="26">
        <v>0</v>
      </c>
      <c r="V92" s="26"/>
      <c r="W92" s="22">
        <f t="shared" si="7"/>
        <v>0</v>
      </c>
      <c r="X92" s="11">
        <f t="shared" si="8"/>
        <v>2</v>
      </c>
    </row>
    <row r="93" spans="1:24" ht="18.75" x14ac:dyDescent="0.3">
      <c r="A93" s="1">
        <v>91</v>
      </c>
      <c r="B93" s="34" t="s">
        <v>90</v>
      </c>
      <c r="C93" s="84">
        <v>295000</v>
      </c>
      <c r="D93" s="84"/>
      <c r="E93" s="84">
        <v>100000</v>
      </c>
      <c r="F93" s="84"/>
      <c r="G93" s="84">
        <v>100000</v>
      </c>
      <c r="I93" s="84">
        <v>100000</v>
      </c>
      <c r="J93" s="84"/>
      <c r="K93" s="84"/>
      <c r="L93" s="84"/>
      <c r="M93" s="84"/>
      <c r="N93" s="84"/>
      <c r="O93" s="84"/>
      <c r="P93" s="84">
        <f t="shared" si="5"/>
        <v>595000</v>
      </c>
      <c r="Q93" s="106">
        <v>100000</v>
      </c>
      <c r="R93" s="106">
        <v>50000</v>
      </c>
      <c r="S93" s="84">
        <f>50000+95000+100000+100000+100000</f>
        <v>445000</v>
      </c>
      <c r="T93" s="24">
        <f t="shared" si="6"/>
        <v>200000</v>
      </c>
      <c r="U93" s="24">
        <f>S93-200000</f>
        <v>245000</v>
      </c>
      <c r="V93" s="24"/>
      <c r="W93" s="107">
        <f t="shared" si="7"/>
        <v>0</v>
      </c>
      <c r="X93" s="108">
        <f t="shared" si="8"/>
        <v>1</v>
      </c>
    </row>
    <row r="94" spans="1:24" ht="18.75" x14ac:dyDescent="0.3">
      <c r="A94" s="1">
        <v>92</v>
      </c>
      <c r="B94" s="1" t="s">
        <v>91</v>
      </c>
      <c r="C94" s="12">
        <v>1100000</v>
      </c>
      <c r="D94" s="12"/>
      <c r="E94" s="12">
        <v>100000</v>
      </c>
      <c r="F94" s="12"/>
      <c r="G94" s="12"/>
      <c r="H94" s="84">
        <v>50000</v>
      </c>
      <c r="I94" s="12">
        <f>100000+100000</f>
        <v>200000</v>
      </c>
      <c r="J94" s="12"/>
      <c r="K94" s="12"/>
      <c r="L94" s="12"/>
      <c r="M94" s="12"/>
      <c r="N94" s="12"/>
      <c r="O94" s="12"/>
      <c r="P94" s="12">
        <f t="shared" si="5"/>
        <v>1450000</v>
      </c>
      <c r="Q94" s="2">
        <f>900000+100000</f>
        <v>1000000</v>
      </c>
      <c r="R94" s="3">
        <v>50000</v>
      </c>
      <c r="S94" s="12">
        <f>50000+100000+50000+100000+100000</f>
        <v>400000</v>
      </c>
      <c r="T94" s="26">
        <f t="shared" si="6"/>
        <v>100000</v>
      </c>
      <c r="U94" s="26">
        <f>S94-100000</f>
        <v>300000</v>
      </c>
      <c r="V94" s="26"/>
      <c r="W94" s="22">
        <f t="shared" si="7"/>
        <v>0</v>
      </c>
      <c r="X94" s="11">
        <f t="shared" si="8"/>
        <v>10</v>
      </c>
    </row>
    <row r="95" spans="1:24" s="163" customFormat="1" ht="18.75" x14ac:dyDescent="0.3">
      <c r="A95" s="156">
        <v>93</v>
      </c>
      <c r="B95" s="156" t="s">
        <v>92</v>
      </c>
      <c r="C95" s="157">
        <v>300000</v>
      </c>
      <c r="D95" s="157">
        <v>50000</v>
      </c>
      <c r="E95" s="157">
        <v>50000</v>
      </c>
      <c r="F95" s="157">
        <v>50000</v>
      </c>
      <c r="G95" s="157">
        <f>50000+50000</f>
        <v>100000</v>
      </c>
      <c r="H95" s="157">
        <f>50000+100000</f>
        <v>150000</v>
      </c>
      <c r="I95" s="157">
        <f>100000+100000</f>
        <v>200000</v>
      </c>
      <c r="J95" s="157">
        <v>100000</v>
      </c>
      <c r="K95" s="157"/>
      <c r="L95" s="157"/>
      <c r="M95" s="157"/>
      <c r="N95" s="157"/>
      <c r="O95" s="157"/>
      <c r="P95" s="157">
        <f t="shared" si="5"/>
        <v>1000000</v>
      </c>
      <c r="Q95" s="158">
        <v>100000</v>
      </c>
      <c r="R95" s="159">
        <v>50000</v>
      </c>
      <c r="S95" s="157">
        <f>50000+50000+50000+50000+50000+50000+50000+50000+50000+100000+100000+100000+100000</f>
        <v>850000</v>
      </c>
      <c r="T95" s="160">
        <f t="shared" si="6"/>
        <v>250000</v>
      </c>
      <c r="U95" s="160">
        <f>S95-250000</f>
        <v>600000</v>
      </c>
      <c r="V95" s="160"/>
      <c r="W95" s="161">
        <f t="shared" si="7"/>
        <v>0</v>
      </c>
      <c r="X95" s="162">
        <f t="shared" si="8"/>
        <v>1</v>
      </c>
    </row>
    <row r="96" spans="1:24" ht="18.75" x14ac:dyDescent="0.3">
      <c r="A96" s="1">
        <v>94</v>
      </c>
      <c r="B96" s="1" t="s">
        <v>93</v>
      </c>
      <c r="C96" s="12">
        <v>650000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>
        <f t="shared" si="5"/>
        <v>650000</v>
      </c>
      <c r="Q96" s="2">
        <v>600000</v>
      </c>
      <c r="R96" s="3">
        <v>50000</v>
      </c>
      <c r="S96" s="12"/>
      <c r="T96" s="26">
        <f t="shared" si="6"/>
        <v>0</v>
      </c>
      <c r="U96" s="26">
        <v>0</v>
      </c>
      <c r="V96" s="26"/>
      <c r="W96" s="22">
        <f t="shared" si="7"/>
        <v>0</v>
      </c>
      <c r="X96" s="11">
        <f t="shared" si="8"/>
        <v>6</v>
      </c>
    </row>
    <row r="97" spans="1:24" ht="18.75" x14ac:dyDescent="0.3">
      <c r="A97" s="1">
        <v>95</v>
      </c>
      <c r="B97" s="1" t="s">
        <v>94</v>
      </c>
      <c r="C97" s="12">
        <v>1650000</v>
      </c>
      <c r="D97" s="12"/>
      <c r="E97" s="12">
        <v>250000</v>
      </c>
      <c r="F97" s="12">
        <f>300000+8000000+440000</f>
        <v>8740000</v>
      </c>
      <c r="G97" s="12">
        <f>150000+150000</f>
        <v>300000</v>
      </c>
      <c r="H97" s="12">
        <v>290000</v>
      </c>
      <c r="I97" s="12">
        <f>600000+150000</f>
        <v>750000</v>
      </c>
      <c r="J97" s="12"/>
      <c r="K97" s="12"/>
      <c r="L97" s="12"/>
      <c r="M97" s="12"/>
      <c r="N97" s="12"/>
      <c r="O97" s="12"/>
      <c r="P97" s="12">
        <f t="shared" si="5"/>
        <v>11980000</v>
      </c>
      <c r="Q97" s="2">
        <f>100000+500000+100000+20000+180000+100000+8000000</f>
        <v>9000000</v>
      </c>
      <c r="R97" s="3">
        <v>50000</v>
      </c>
      <c r="S97" s="12">
        <f>100000+300000+200000+250000+300000+440000+150000+150000+290000+600000+150000</f>
        <v>2930000</v>
      </c>
      <c r="T97" s="26">
        <f t="shared" si="6"/>
        <v>250000</v>
      </c>
      <c r="U97" s="26">
        <f>S97-250000</f>
        <v>2680000</v>
      </c>
      <c r="V97" s="26"/>
      <c r="W97" s="22">
        <f t="shared" si="7"/>
        <v>0</v>
      </c>
      <c r="X97" s="11">
        <f t="shared" si="8"/>
        <v>90</v>
      </c>
    </row>
    <row r="98" spans="1:24" ht="18.75" x14ac:dyDescent="0.3">
      <c r="A98" s="1">
        <v>96</v>
      </c>
      <c r="B98" s="1" t="s">
        <v>95</v>
      </c>
      <c r="C98" s="12">
        <v>2150000</v>
      </c>
      <c r="D98" s="12"/>
      <c r="E98" s="12">
        <v>100000</v>
      </c>
      <c r="F98" s="12">
        <v>150000</v>
      </c>
      <c r="G98" s="12">
        <v>200000</v>
      </c>
      <c r="H98" s="12">
        <v>200000</v>
      </c>
      <c r="I98" s="12">
        <v>250000</v>
      </c>
      <c r="J98" s="12"/>
      <c r="K98" s="12"/>
      <c r="L98" s="12"/>
      <c r="M98" s="12"/>
      <c r="N98" s="12"/>
      <c r="O98" s="12"/>
      <c r="P98" s="12">
        <f t="shared" si="5"/>
        <v>3050000</v>
      </c>
      <c r="Q98" s="2">
        <f>300000+200000+700000+800000</f>
        <v>2000000</v>
      </c>
      <c r="R98" s="3">
        <v>50000</v>
      </c>
      <c r="S98" s="12">
        <f>100000+100000+150000+200000+200000+250000</f>
        <v>1000000</v>
      </c>
      <c r="T98" s="26">
        <f t="shared" si="6"/>
        <v>250000</v>
      </c>
      <c r="U98" s="26">
        <f>S98-250000</f>
        <v>750000</v>
      </c>
      <c r="V98" s="26"/>
      <c r="W98" s="22">
        <f t="shared" si="7"/>
        <v>0</v>
      </c>
      <c r="X98" s="11">
        <f t="shared" si="8"/>
        <v>20</v>
      </c>
    </row>
    <row r="99" spans="1:24" ht="18.75" x14ac:dyDescent="0.3">
      <c r="A99" s="1">
        <v>97</v>
      </c>
      <c r="B99" s="1" t="s">
        <v>96</v>
      </c>
      <c r="C99" s="12">
        <v>150000</v>
      </c>
      <c r="D99" s="12">
        <v>50000</v>
      </c>
      <c r="E99" s="12">
        <v>50000</v>
      </c>
      <c r="F99" s="12"/>
      <c r="G99" s="12">
        <v>50000</v>
      </c>
      <c r="H99" s="12">
        <v>50000</v>
      </c>
      <c r="I99" s="12">
        <v>50000</v>
      </c>
      <c r="J99" s="12"/>
      <c r="K99" s="12"/>
      <c r="L99" s="12"/>
      <c r="M99" s="12"/>
      <c r="N99" s="12"/>
      <c r="O99" s="12"/>
      <c r="P99" s="12">
        <f t="shared" si="5"/>
        <v>400000</v>
      </c>
      <c r="Q99" s="2">
        <v>100000</v>
      </c>
      <c r="R99" s="3">
        <v>50000</v>
      </c>
      <c r="S99" s="12">
        <f>50000+50000+50000+50000+50000</f>
        <v>250000</v>
      </c>
      <c r="T99" s="26">
        <f t="shared" ref="T99:T130" si="9">S99-U99</f>
        <v>250000</v>
      </c>
      <c r="U99" s="26">
        <v>0</v>
      </c>
      <c r="V99" s="26"/>
      <c r="W99" s="22">
        <f t="shared" si="7"/>
        <v>0</v>
      </c>
      <c r="X99" s="11">
        <f t="shared" si="8"/>
        <v>1</v>
      </c>
    </row>
    <row r="100" spans="1:24" ht="18.75" x14ac:dyDescent="0.3">
      <c r="A100" s="1">
        <v>98</v>
      </c>
      <c r="B100" s="1" t="s">
        <v>97</v>
      </c>
      <c r="C100" s="12">
        <v>200000</v>
      </c>
      <c r="D100" s="12"/>
      <c r="E100" s="12">
        <v>50000</v>
      </c>
      <c r="F100" s="12">
        <v>50000</v>
      </c>
      <c r="G100" s="12"/>
      <c r="H100" s="12"/>
      <c r="I100" s="12">
        <v>100000</v>
      </c>
      <c r="J100" s="12"/>
      <c r="K100" s="12"/>
      <c r="L100" s="12"/>
      <c r="M100" s="12"/>
      <c r="N100" s="12"/>
      <c r="O100" s="12"/>
      <c r="P100" s="12">
        <f t="shared" si="5"/>
        <v>400000</v>
      </c>
      <c r="Q100" s="2">
        <v>100000</v>
      </c>
      <c r="R100" s="3">
        <v>50000</v>
      </c>
      <c r="S100" s="12">
        <f>50000+50000+50000+100000</f>
        <v>250000</v>
      </c>
      <c r="T100" s="26">
        <f t="shared" si="9"/>
        <v>150000</v>
      </c>
      <c r="U100" s="26">
        <f>S100-150000</f>
        <v>100000</v>
      </c>
      <c r="V100" s="26"/>
      <c r="W100" s="22">
        <f t="shared" si="7"/>
        <v>0</v>
      </c>
      <c r="X100" s="11">
        <f t="shared" si="8"/>
        <v>1</v>
      </c>
    </row>
    <row r="101" spans="1:24" ht="18.75" x14ac:dyDescent="0.3">
      <c r="A101" s="1">
        <v>99</v>
      </c>
      <c r="B101" s="1" t="s">
        <v>98</v>
      </c>
      <c r="C101" s="12">
        <v>150000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f t="shared" si="5"/>
        <v>150000</v>
      </c>
      <c r="Q101" s="2">
        <v>100000</v>
      </c>
      <c r="R101" s="3">
        <v>50000</v>
      </c>
      <c r="S101" s="12"/>
      <c r="T101" s="26">
        <f t="shared" si="9"/>
        <v>0</v>
      </c>
      <c r="U101" s="26">
        <v>0</v>
      </c>
      <c r="V101" s="26"/>
      <c r="W101" s="22">
        <f t="shared" si="7"/>
        <v>0</v>
      </c>
      <c r="X101" s="11">
        <f t="shared" si="8"/>
        <v>1</v>
      </c>
    </row>
    <row r="102" spans="1:24" ht="18.75" x14ac:dyDescent="0.3">
      <c r="A102" s="1">
        <v>100</v>
      </c>
      <c r="B102" s="1" t="s">
        <v>99</v>
      </c>
      <c r="C102" s="12">
        <v>4550000</v>
      </c>
      <c r="D102" s="12"/>
      <c r="E102" s="12"/>
      <c r="F102" s="12">
        <v>4500000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f t="shared" si="5"/>
        <v>9050000</v>
      </c>
      <c r="Q102" s="2">
        <f>4500000+4500000</f>
        <v>9000000</v>
      </c>
      <c r="R102" s="3">
        <v>50000</v>
      </c>
      <c r="S102" s="12"/>
      <c r="T102" s="26">
        <f t="shared" si="9"/>
        <v>0</v>
      </c>
      <c r="U102" s="26">
        <v>0</v>
      </c>
      <c r="V102" s="26"/>
      <c r="W102" s="22">
        <f t="shared" si="7"/>
        <v>0</v>
      </c>
      <c r="X102" s="11">
        <f t="shared" si="8"/>
        <v>90</v>
      </c>
    </row>
    <row r="103" spans="1:24" ht="18.75" x14ac:dyDescent="0.3">
      <c r="A103" s="1">
        <v>101</v>
      </c>
      <c r="B103" s="1" t="s">
        <v>100</v>
      </c>
      <c r="C103" s="12">
        <v>200000</v>
      </c>
      <c r="D103" s="12"/>
      <c r="E103" s="12">
        <v>50000</v>
      </c>
      <c r="F103" s="12">
        <v>50000</v>
      </c>
      <c r="G103" s="12">
        <v>50000</v>
      </c>
      <c r="H103" s="12">
        <f>50000+50000</f>
        <v>100000</v>
      </c>
      <c r="I103" s="12"/>
      <c r="J103" s="12"/>
      <c r="K103" s="12"/>
      <c r="L103" s="12"/>
      <c r="M103" s="12"/>
      <c r="N103" s="12"/>
      <c r="O103" s="12"/>
      <c r="P103" s="12">
        <f t="shared" si="5"/>
        <v>450000</v>
      </c>
      <c r="Q103" s="2">
        <v>100000</v>
      </c>
      <c r="R103" s="3">
        <v>50000</v>
      </c>
      <c r="S103" s="12">
        <f>50000+50000+50000+50000+50000+50000</f>
        <v>300000</v>
      </c>
      <c r="T103" s="26">
        <f t="shared" si="9"/>
        <v>250000</v>
      </c>
      <c r="U103" s="26">
        <f>S103-250000</f>
        <v>50000</v>
      </c>
      <c r="V103" s="26"/>
      <c r="W103" s="22">
        <f t="shared" si="7"/>
        <v>0</v>
      </c>
      <c r="X103" s="11">
        <f t="shared" si="8"/>
        <v>1</v>
      </c>
    </row>
    <row r="104" spans="1:24" ht="18.75" x14ac:dyDescent="0.3">
      <c r="A104" s="1">
        <v>102</v>
      </c>
      <c r="B104" s="1" t="s">
        <v>101</v>
      </c>
      <c r="C104" s="12">
        <v>200000</v>
      </c>
      <c r="D104" s="12"/>
      <c r="E104" s="12">
        <v>50000</v>
      </c>
      <c r="F104" s="12">
        <v>50000</v>
      </c>
      <c r="G104" s="12">
        <v>50000</v>
      </c>
      <c r="H104" s="12">
        <f>50000+50000</f>
        <v>100000</v>
      </c>
      <c r="I104" s="12"/>
      <c r="J104" s="12"/>
      <c r="K104" s="12"/>
      <c r="L104" s="12"/>
      <c r="M104" s="12"/>
      <c r="N104" s="12"/>
      <c r="O104" s="12"/>
      <c r="P104" s="12">
        <f t="shared" si="5"/>
        <v>450000</v>
      </c>
      <c r="Q104" s="2">
        <v>100000</v>
      </c>
      <c r="R104" s="3">
        <v>50000</v>
      </c>
      <c r="S104" s="12">
        <f>50000+50000+50000+50000+50000+50000</f>
        <v>300000</v>
      </c>
      <c r="T104" s="26">
        <f t="shared" si="9"/>
        <v>250000</v>
      </c>
      <c r="U104" s="26">
        <f>S104-250000</f>
        <v>50000</v>
      </c>
      <c r="V104" s="26"/>
      <c r="W104" s="22">
        <f t="shared" si="7"/>
        <v>0</v>
      </c>
      <c r="X104" s="11">
        <f t="shared" si="8"/>
        <v>1</v>
      </c>
    </row>
    <row r="105" spans="1:24" ht="18.75" x14ac:dyDescent="0.3">
      <c r="A105" s="1">
        <v>103</v>
      </c>
      <c r="B105" s="1" t="s">
        <v>102</v>
      </c>
      <c r="C105" s="12">
        <v>200000</v>
      </c>
      <c r="D105" s="12"/>
      <c r="E105" s="12">
        <v>50000</v>
      </c>
      <c r="F105" s="12">
        <v>50000</v>
      </c>
      <c r="G105" s="12">
        <v>50000</v>
      </c>
      <c r="H105" s="12">
        <f>50000+50000</f>
        <v>100000</v>
      </c>
      <c r="I105" s="12"/>
      <c r="J105" s="12"/>
      <c r="K105" s="12"/>
      <c r="L105" s="12"/>
      <c r="M105" s="12"/>
      <c r="N105" s="12"/>
      <c r="O105" s="12"/>
      <c r="P105" s="12">
        <f t="shared" si="5"/>
        <v>450000</v>
      </c>
      <c r="Q105" s="2">
        <v>100000</v>
      </c>
      <c r="R105" s="3">
        <v>50000</v>
      </c>
      <c r="S105" s="12">
        <f>50000+50000+50000+50000+50000+50000</f>
        <v>300000</v>
      </c>
      <c r="T105" s="26">
        <f t="shared" si="9"/>
        <v>250000</v>
      </c>
      <c r="U105" s="26">
        <f>S105-250000</f>
        <v>50000</v>
      </c>
      <c r="V105" s="26"/>
      <c r="W105" s="22">
        <f t="shared" si="7"/>
        <v>0</v>
      </c>
      <c r="X105" s="11">
        <f t="shared" si="8"/>
        <v>1</v>
      </c>
    </row>
    <row r="106" spans="1:24" ht="18.75" x14ac:dyDescent="0.3">
      <c r="A106" s="1">
        <v>104</v>
      </c>
      <c r="B106" s="1" t="s">
        <v>103</v>
      </c>
      <c r="C106" s="12">
        <v>150000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f t="shared" si="5"/>
        <v>150000</v>
      </c>
      <c r="Q106" s="2">
        <v>100000</v>
      </c>
      <c r="R106" s="3">
        <v>50000</v>
      </c>
      <c r="S106" s="12"/>
      <c r="T106" s="26">
        <f t="shared" si="9"/>
        <v>0</v>
      </c>
      <c r="U106" s="26">
        <v>0</v>
      </c>
      <c r="V106" s="26"/>
      <c r="W106" s="22">
        <f t="shared" si="7"/>
        <v>0</v>
      </c>
      <c r="X106" s="11">
        <f t="shared" si="8"/>
        <v>1</v>
      </c>
    </row>
    <row r="107" spans="1:24" ht="18.75" x14ac:dyDescent="0.3">
      <c r="A107" s="1">
        <v>105</v>
      </c>
      <c r="B107" s="1" t="s">
        <v>104</v>
      </c>
      <c r="C107" s="12">
        <v>200000</v>
      </c>
      <c r="D107" s="12"/>
      <c r="E107" s="12"/>
      <c r="F107" s="12"/>
      <c r="G107" s="12"/>
      <c r="H107" s="12">
        <v>250000</v>
      </c>
      <c r="I107" s="12"/>
      <c r="J107" s="12"/>
      <c r="K107" s="12"/>
      <c r="L107" s="12"/>
      <c r="M107" s="12"/>
      <c r="N107" s="12"/>
      <c r="O107" s="12"/>
      <c r="P107" s="12">
        <f t="shared" si="5"/>
        <v>450000</v>
      </c>
      <c r="Q107" s="2">
        <v>100000</v>
      </c>
      <c r="R107" s="3">
        <v>50000</v>
      </c>
      <c r="S107" s="12">
        <f>50000+250000</f>
        <v>300000</v>
      </c>
      <c r="T107" s="26">
        <f t="shared" si="9"/>
        <v>250000</v>
      </c>
      <c r="U107" s="26">
        <f>S107-250000</f>
        <v>50000</v>
      </c>
      <c r="V107" s="26"/>
      <c r="W107" s="22">
        <f t="shared" si="7"/>
        <v>0</v>
      </c>
      <c r="X107" s="11">
        <f t="shared" si="8"/>
        <v>1</v>
      </c>
    </row>
    <row r="108" spans="1:24" ht="18.75" x14ac:dyDescent="0.3">
      <c r="A108" s="1">
        <v>106</v>
      </c>
      <c r="B108" s="1" t="s">
        <v>105</v>
      </c>
      <c r="C108" s="12">
        <v>150000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>
        <f t="shared" si="5"/>
        <v>150000</v>
      </c>
      <c r="Q108" s="2">
        <v>100000</v>
      </c>
      <c r="R108" s="3">
        <v>50000</v>
      </c>
      <c r="S108" s="12"/>
      <c r="T108" s="26">
        <f t="shared" si="9"/>
        <v>0</v>
      </c>
      <c r="U108" s="26">
        <v>0</v>
      </c>
      <c r="V108" s="26"/>
      <c r="W108" s="22">
        <f t="shared" si="7"/>
        <v>0</v>
      </c>
      <c r="X108" s="11">
        <f t="shared" si="8"/>
        <v>1</v>
      </c>
    </row>
    <row r="109" spans="1:24" ht="18.75" x14ac:dyDescent="0.3">
      <c r="A109" s="1">
        <v>107</v>
      </c>
      <c r="B109" s="1" t="s">
        <v>106</v>
      </c>
      <c r="C109" s="12">
        <v>250000</v>
      </c>
      <c r="D109" s="12"/>
      <c r="E109" s="12"/>
      <c r="F109" s="12">
        <v>100000</v>
      </c>
      <c r="G109" s="12"/>
      <c r="H109" s="12">
        <v>100000</v>
      </c>
      <c r="I109" s="12">
        <v>100000</v>
      </c>
      <c r="J109" s="12"/>
      <c r="K109" s="12"/>
      <c r="L109" s="12"/>
      <c r="M109" s="12"/>
      <c r="N109" s="12"/>
      <c r="O109" s="12"/>
      <c r="P109" s="12">
        <f t="shared" si="5"/>
        <v>550000</v>
      </c>
      <c r="Q109" s="2">
        <v>200000</v>
      </c>
      <c r="R109" s="3">
        <v>50000</v>
      </c>
      <c r="S109" s="12">
        <f>100000+100000+100000</f>
        <v>300000</v>
      </c>
      <c r="T109" s="26">
        <f t="shared" si="9"/>
        <v>300000</v>
      </c>
      <c r="U109" s="26">
        <v>0</v>
      </c>
      <c r="V109" s="26"/>
      <c r="W109" s="22">
        <f t="shared" si="7"/>
        <v>0</v>
      </c>
      <c r="X109" s="11">
        <f t="shared" si="8"/>
        <v>2</v>
      </c>
    </row>
    <row r="110" spans="1:24" s="210" customFormat="1" ht="18.75" x14ac:dyDescent="0.3">
      <c r="A110" s="203">
        <v>108</v>
      </c>
      <c r="B110" s="203" t="s">
        <v>107</v>
      </c>
      <c r="C110" s="204">
        <v>150000</v>
      </c>
      <c r="D110" s="204"/>
      <c r="E110" s="204"/>
      <c r="F110" s="204"/>
      <c r="G110" s="204"/>
      <c r="H110" s="204">
        <v>202000</v>
      </c>
      <c r="I110" s="204"/>
      <c r="J110" s="204">
        <v>103000</v>
      </c>
      <c r="K110" s="204"/>
      <c r="L110" s="204"/>
      <c r="M110" s="204"/>
      <c r="N110" s="204"/>
      <c r="O110" s="204"/>
      <c r="P110" s="204">
        <f t="shared" si="5"/>
        <v>455000</v>
      </c>
      <c r="Q110" s="205">
        <v>100000</v>
      </c>
      <c r="R110" s="206">
        <v>50000</v>
      </c>
      <c r="S110" s="204">
        <f>202000+103000</f>
        <v>305000</v>
      </c>
      <c r="T110" s="207">
        <f t="shared" si="9"/>
        <v>303000</v>
      </c>
      <c r="U110" s="207">
        <v>2000</v>
      </c>
      <c r="V110" s="207"/>
      <c r="W110" s="208">
        <f t="shared" si="7"/>
        <v>0</v>
      </c>
      <c r="X110" s="209">
        <f t="shared" si="8"/>
        <v>1</v>
      </c>
    </row>
    <row r="111" spans="1:24" ht="18.75" x14ac:dyDescent="0.3">
      <c r="A111" s="1">
        <v>109</v>
      </c>
      <c r="B111" s="1" t="s">
        <v>108</v>
      </c>
      <c r="C111" s="12">
        <v>900000</v>
      </c>
      <c r="D111" s="12"/>
      <c r="E111" s="12"/>
      <c r="F111" s="12">
        <v>300000</v>
      </c>
      <c r="G111" s="12"/>
      <c r="H111" s="12"/>
      <c r="I111" s="12">
        <v>250000</v>
      </c>
      <c r="J111" s="12"/>
      <c r="K111" s="12"/>
      <c r="L111" s="12"/>
      <c r="M111" s="12"/>
      <c r="N111" s="12"/>
      <c r="O111" s="12"/>
      <c r="P111" s="12">
        <f t="shared" si="5"/>
        <v>1450000</v>
      </c>
      <c r="Q111" s="2">
        <f>100000+400000+300000</f>
        <v>800000</v>
      </c>
      <c r="R111" s="3">
        <v>50000</v>
      </c>
      <c r="S111" s="12">
        <f>50000+300000+250000</f>
        <v>600000</v>
      </c>
      <c r="T111" s="26">
        <f t="shared" si="9"/>
        <v>150000</v>
      </c>
      <c r="U111" s="26">
        <f>S111-150000</f>
        <v>450000</v>
      </c>
      <c r="V111" s="26"/>
      <c r="W111" s="22">
        <f t="shared" si="7"/>
        <v>0</v>
      </c>
      <c r="X111" s="11">
        <f t="shared" si="8"/>
        <v>8</v>
      </c>
    </row>
    <row r="112" spans="1:24" ht="18.75" x14ac:dyDescent="0.3">
      <c r="A112" s="1">
        <v>110</v>
      </c>
      <c r="B112" s="1" t="s">
        <v>109</v>
      </c>
      <c r="C112" s="12">
        <v>150000</v>
      </c>
      <c r="D112" s="12"/>
      <c r="E112" s="12"/>
      <c r="F112" s="12"/>
      <c r="G112" s="12">
        <v>100000</v>
      </c>
      <c r="H112" s="12"/>
      <c r="I112" s="12"/>
      <c r="J112" s="12"/>
      <c r="K112" s="12"/>
      <c r="L112" s="12"/>
      <c r="M112" s="12"/>
      <c r="N112" s="12"/>
      <c r="O112" s="12"/>
      <c r="P112" s="12">
        <f t="shared" si="5"/>
        <v>250000</v>
      </c>
      <c r="Q112" s="2">
        <v>100000</v>
      </c>
      <c r="R112" s="3">
        <v>50000</v>
      </c>
      <c r="S112" s="12">
        <v>100000</v>
      </c>
      <c r="T112" s="26">
        <f t="shared" si="9"/>
        <v>100000</v>
      </c>
      <c r="U112" s="26">
        <v>0</v>
      </c>
      <c r="V112" s="26"/>
      <c r="W112" s="22">
        <f t="shared" si="7"/>
        <v>0</v>
      </c>
      <c r="X112" s="11">
        <f t="shared" si="8"/>
        <v>1</v>
      </c>
    </row>
    <row r="113" spans="1:24" ht="18.75" x14ac:dyDescent="0.3">
      <c r="A113" s="1">
        <v>111</v>
      </c>
      <c r="B113" s="1" t="s">
        <v>110</v>
      </c>
      <c r="C113" s="12">
        <v>250000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>
        <f t="shared" si="5"/>
        <v>250000</v>
      </c>
      <c r="Q113" s="2">
        <v>200000</v>
      </c>
      <c r="R113" s="3">
        <v>50000</v>
      </c>
      <c r="S113" s="12"/>
      <c r="T113" s="26">
        <f t="shared" si="9"/>
        <v>0</v>
      </c>
      <c r="U113" s="26">
        <v>0</v>
      </c>
      <c r="V113" s="26"/>
      <c r="W113" s="22">
        <f t="shared" si="7"/>
        <v>0</v>
      </c>
      <c r="X113" s="11">
        <f t="shared" si="8"/>
        <v>2</v>
      </c>
    </row>
    <row r="114" spans="1:24" ht="18.75" x14ac:dyDescent="0.3">
      <c r="A114" s="1">
        <v>112</v>
      </c>
      <c r="B114" s="190" t="s">
        <v>111</v>
      </c>
      <c r="C114" s="191">
        <v>4650000</v>
      </c>
      <c r="D114" s="191"/>
      <c r="E114" s="191">
        <v>700000</v>
      </c>
      <c r="F114" s="191">
        <v>3800000</v>
      </c>
      <c r="G114" s="191"/>
      <c r="H114" s="191"/>
      <c r="I114" s="191">
        <v>500000</v>
      </c>
      <c r="J114" s="191"/>
      <c r="K114" s="191"/>
      <c r="L114" s="191"/>
      <c r="M114" s="191"/>
      <c r="N114" s="191"/>
      <c r="O114" s="191"/>
      <c r="P114" s="12">
        <f t="shared" si="5"/>
        <v>9650000</v>
      </c>
      <c r="Q114" s="2">
        <f>4500000+700000+3800000</f>
        <v>9000000</v>
      </c>
      <c r="R114" s="3">
        <v>50000</v>
      </c>
      <c r="S114" s="12">
        <f>100000+500000</f>
        <v>600000</v>
      </c>
      <c r="T114" s="26">
        <f t="shared" si="9"/>
        <v>50000</v>
      </c>
      <c r="U114" s="26">
        <f>S114-50000</f>
        <v>550000</v>
      </c>
      <c r="V114" s="26"/>
      <c r="W114" s="22">
        <f t="shared" si="7"/>
        <v>0</v>
      </c>
      <c r="X114" s="11">
        <f t="shared" si="8"/>
        <v>90</v>
      </c>
    </row>
    <row r="115" spans="1:24" ht="18.75" x14ac:dyDescent="0.3">
      <c r="A115" s="1">
        <v>113</v>
      </c>
      <c r="B115" s="1" t="s">
        <v>112</v>
      </c>
      <c r="C115" s="12">
        <v>5050000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>
        <f t="shared" si="5"/>
        <v>5050000</v>
      </c>
      <c r="Q115" s="2">
        <f>3000000+2000000</f>
        <v>5000000</v>
      </c>
      <c r="R115" s="3">
        <v>50000</v>
      </c>
      <c r="S115" s="12"/>
      <c r="T115" s="26">
        <f t="shared" si="9"/>
        <v>0</v>
      </c>
      <c r="U115" s="26">
        <v>0</v>
      </c>
      <c r="V115" s="26"/>
      <c r="W115" s="22">
        <f t="shared" si="7"/>
        <v>0</v>
      </c>
      <c r="X115" s="11">
        <f t="shared" si="8"/>
        <v>50</v>
      </c>
    </row>
    <row r="116" spans="1:24" ht="18.75" x14ac:dyDescent="0.3">
      <c r="A116" s="1">
        <v>114</v>
      </c>
      <c r="B116" s="1" t="s">
        <v>113</v>
      </c>
      <c r="C116" s="12">
        <v>350000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>
        <f t="shared" si="5"/>
        <v>350000</v>
      </c>
      <c r="Q116" s="2">
        <v>300000</v>
      </c>
      <c r="R116" s="3">
        <v>50000</v>
      </c>
      <c r="S116" s="12"/>
      <c r="T116" s="26">
        <f t="shared" si="9"/>
        <v>0</v>
      </c>
      <c r="U116" s="26">
        <v>0</v>
      </c>
      <c r="V116" s="26"/>
      <c r="W116" s="22">
        <f t="shared" si="7"/>
        <v>0</v>
      </c>
      <c r="X116" s="11">
        <f t="shared" si="8"/>
        <v>3</v>
      </c>
    </row>
    <row r="117" spans="1:24" ht="18.75" x14ac:dyDescent="0.3">
      <c r="A117" s="1">
        <v>115</v>
      </c>
      <c r="B117" s="1" t="s">
        <v>114</v>
      </c>
      <c r="C117" s="12">
        <v>5000000</v>
      </c>
      <c r="D117" s="12"/>
      <c r="E117" s="12">
        <v>4050000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>
        <f t="shared" si="5"/>
        <v>9050000</v>
      </c>
      <c r="Q117" s="2">
        <f>5000000+4000000</f>
        <v>9000000</v>
      </c>
      <c r="R117" s="3">
        <v>50000</v>
      </c>
      <c r="S117" s="12"/>
      <c r="T117" s="26">
        <f t="shared" si="9"/>
        <v>0</v>
      </c>
      <c r="U117" s="26">
        <v>0</v>
      </c>
      <c r="V117" s="26"/>
      <c r="W117" s="22">
        <f t="shared" si="7"/>
        <v>0</v>
      </c>
      <c r="X117" s="11">
        <f t="shared" si="8"/>
        <v>90</v>
      </c>
    </row>
    <row r="118" spans="1:24" ht="18.75" x14ac:dyDescent="0.3">
      <c r="A118" s="1">
        <v>116</v>
      </c>
      <c r="B118" s="1" t="s">
        <v>115</v>
      </c>
      <c r="C118" s="12">
        <v>310000</v>
      </c>
      <c r="D118" s="12">
        <v>50000</v>
      </c>
      <c r="E118" s="12"/>
      <c r="F118" s="12">
        <v>40000</v>
      </c>
      <c r="G118" s="12">
        <v>55000</v>
      </c>
      <c r="H118" s="12"/>
      <c r="I118" s="12">
        <v>50000</v>
      </c>
      <c r="J118" s="12"/>
      <c r="K118" s="12"/>
      <c r="L118" s="12"/>
      <c r="M118" s="12"/>
      <c r="N118" s="12"/>
      <c r="O118" s="12"/>
      <c r="P118" s="12">
        <f t="shared" si="5"/>
        <v>505000</v>
      </c>
      <c r="Q118" s="2">
        <v>100000</v>
      </c>
      <c r="R118" s="3">
        <v>50000</v>
      </c>
      <c r="S118" s="12">
        <f>20000+40000+40000+30000+30000+20000+30000-100000+50000+50000+40000+55000+50000</f>
        <v>355000</v>
      </c>
      <c r="T118" s="26">
        <f t="shared" si="9"/>
        <v>200000</v>
      </c>
      <c r="U118" s="26">
        <f>S118-200000</f>
        <v>155000</v>
      </c>
      <c r="V118" s="26"/>
      <c r="W118" s="22">
        <f t="shared" si="7"/>
        <v>0</v>
      </c>
      <c r="X118" s="11">
        <f t="shared" si="8"/>
        <v>1</v>
      </c>
    </row>
    <row r="119" spans="1:24" ht="18.75" x14ac:dyDescent="0.3">
      <c r="A119" s="1">
        <v>117</v>
      </c>
      <c r="B119" s="1" t="s">
        <v>116</v>
      </c>
      <c r="C119" s="12">
        <v>150000</v>
      </c>
      <c r="D119" s="12">
        <v>100000</v>
      </c>
      <c r="E119" s="12">
        <v>140000</v>
      </c>
      <c r="F119" s="12">
        <v>490000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f t="shared" si="5"/>
        <v>880000</v>
      </c>
      <c r="Q119" s="2">
        <v>100000</v>
      </c>
      <c r="R119" s="3">
        <v>50000</v>
      </c>
      <c r="S119" s="12">
        <f>100000+140000+490000</f>
        <v>730000</v>
      </c>
      <c r="T119" s="26">
        <f t="shared" si="9"/>
        <v>150000</v>
      </c>
      <c r="U119" s="26">
        <f>S119-150000</f>
        <v>580000</v>
      </c>
      <c r="V119" s="26"/>
      <c r="W119" s="22">
        <f t="shared" si="7"/>
        <v>0</v>
      </c>
      <c r="X119" s="11">
        <f t="shared" si="8"/>
        <v>1</v>
      </c>
    </row>
    <row r="120" spans="1:24" ht="18.75" x14ac:dyDescent="0.3">
      <c r="A120" s="1">
        <v>118</v>
      </c>
      <c r="B120" s="1" t="s">
        <v>75</v>
      </c>
      <c r="C120" s="12">
        <v>250000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f t="shared" si="5"/>
        <v>250000</v>
      </c>
      <c r="Q120" s="2">
        <v>200000</v>
      </c>
      <c r="R120" s="3">
        <v>50000</v>
      </c>
      <c r="S120" s="12"/>
      <c r="T120" s="26">
        <f t="shared" si="9"/>
        <v>0</v>
      </c>
      <c r="U120" s="26">
        <v>0</v>
      </c>
      <c r="V120" s="26"/>
      <c r="W120" s="22">
        <f t="shared" si="7"/>
        <v>0</v>
      </c>
      <c r="X120" s="11">
        <f t="shared" si="8"/>
        <v>2</v>
      </c>
    </row>
    <row r="121" spans="1:24" ht="18.75" x14ac:dyDescent="0.3">
      <c r="A121" s="1">
        <v>119</v>
      </c>
      <c r="B121" s="1" t="s">
        <v>117</v>
      </c>
      <c r="C121" s="12">
        <v>1850000</v>
      </c>
      <c r="D121" s="12"/>
      <c r="E121" s="12"/>
      <c r="F121" s="12"/>
      <c r="G121" s="12">
        <v>250000</v>
      </c>
      <c r="H121" s="12"/>
      <c r="I121" s="12"/>
      <c r="J121" s="12"/>
      <c r="K121" s="12"/>
      <c r="L121" s="12"/>
      <c r="M121" s="12"/>
      <c r="N121" s="12"/>
      <c r="O121" s="12"/>
      <c r="P121" s="12">
        <f t="shared" si="5"/>
        <v>2100000</v>
      </c>
      <c r="Q121" s="2">
        <v>1500000</v>
      </c>
      <c r="R121" s="3">
        <v>50000</v>
      </c>
      <c r="S121" s="12">
        <f>300000+250000</f>
        <v>550000</v>
      </c>
      <c r="T121" s="26">
        <f t="shared" si="9"/>
        <v>150000</v>
      </c>
      <c r="U121" s="26">
        <f>S121-150000</f>
        <v>400000</v>
      </c>
      <c r="V121" s="26"/>
      <c r="W121" s="22">
        <f t="shared" si="7"/>
        <v>0</v>
      </c>
      <c r="X121" s="11">
        <f t="shared" si="8"/>
        <v>15</v>
      </c>
    </row>
    <row r="122" spans="1:24" ht="18.75" x14ac:dyDescent="0.3">
      <c r="A122" s="1">
        <v>120</v>
      </c>
      <c r="B122" s="1" t="s">
        <v>118</v>
      </c>
      <c r="C122" s="12">
        <v>150000</v>
      </c>
      <c r="D122" s="12"/>
      <c r="E122" s="12">
        <v>100000</v>
      </c>
      <c r="F122" s="12">
        <v>100000</v>
      </c>
      <c r="G122" s="12">
        <v>100000</v>
      </c>
      <c r="H122" s="12">
        <v>100000</v>
      </c>
      <c r="I122" s="12">
        <v>100000</v>
      </c>
      <c r="J122" s="12"/>
      <c r="K122" s="12"/>
      <c r="L122" s="12"/>
      <c r="M122" s="12"/>
      <c r="N122" s="12"/>
      <c r="O122" s="12"/>
      <c r="P122" s="12">
        <f t="shared" si="5"/>
        <v>650000</v>
      </c>
      <c r="Q122" s="2">
        <v>100000</v>
      </c>
      <c r="R122" s="3">
        <v>50000</v>
      </c>
      <c r="S122" s="12">
        <f>100000+100000+100000+100000+100000</f>
        <v>500000</v>
      </c>
      <c r="T122" s="26">
        <f t="shared" si="9"/>
        <v>400000</v>
      </c>
      <c r="U122" s="26">
        <v>100000</v>
      </c>
      <c r="V122" s="26"/>
      <c r="W122" s="22">
        <f t="shared" si="7"/>
        <v>0</v>
      </c>
      <c r="X122" s="11">
        <f t="shared" si="8"/>
        <v>1</v>
      </c>
    </row>
    <row r="123" spans="1:24" s="122" customFormat="1" ht="18.75" x14ac:dyDescent="0.3">
      <c r="A123" s="115">
        <v>121</v>
      </c>
      <c r="B123" s="115" t="s">
        <v>119</v>
      </c>
      <c r="C123" s="116">
        <v>600000</v>
      </c>
      <c r="D123" s="116"/>
      <c r="E123" s="116">
        <v>50000</v>
      </c>
      <c r="F123" s="116">
        <v>50000</v>
      </c>
      <c r="G123" s="116">
        <v>50000</v>
      </c>
      <c r="H123" s="116">
        <v>500000</v>
      </c>
      <c r="I123" s="116"/>
      <c r="J123" s="116">
        <v>-250000</v>
      </c>
      <c r="K123" s="116"/>
      <c r="L123" s="116"/>
      <c r="M123" s="116"/>
      <c r="N123" s="116"/>
      <c r="O123" s="116"/>
      <c r="P123" s="116">
        <f t="shared" si="5"/>
        <v>1000000</v>
      </c>
      <c r="Q123" s="117">
        <f>100000+400000</f>
        <v>500000</v>
      </c>
      <c r="R123" s="118">
        <v>50000</v>
      </c>
      <c r="S123" s="116">
        <f>50000+50000+50000+50000+500000-250000</f>
        <v>450000</v>
      </c>
      <c r="T123" s="119">
        <f t="shared" si="9"/>
        <v>300000</v>
      </c>
      <c r="U123" s="119">
        <f>S123-300000</f>
        <v>150000</v>
      </c>
      <c r="V123" s="119">
        <v>250000</v>
      </c>
      <c r="W123" s="120">
        <f t="shared" si="7"/>
        <v>0</v>
      </c>
      <c r="X123" s="121">
        <f t="shared" si="8"/>
        <v>5</v>
      </c>
    </row>
    <row r="124" spans="1:24" s="210" customFormat="1" ht="18.75" x14ac:dyDescent="0.3">
      <c r="A124" s="203">
        <v>122</v>
      </c>
      <c r="B124" s="203" t="s">
        <v>120</v>
      </c>
      <c r="C124" s="204">
        <v>4700000</v>
      </c>
      <c r="D124" s="204"/>
      <c r="E124" s="204">
        <f>1050000+1000000+1000000</f>
        <v>3050000</v>
      </c>
      <c r="F124" s="204">
        <f>1050000+500000</f>
        <v>1550000</v>
      </c>
      <c r="G124" s="204">
        <v>50000</v>
      </c>
      <c r="H124" s="204">
        <v>50000</v>
      </c>
      <c r="I124" s="204">
        <v>100000</v>
      </c>
      <c r="J124" s="204">
        <v>50000</v>
      </c>
      <c r="K124" s="204"/>
      <c r="L124" s="204"/>
      <c r="M124" s="204"/>
      <c r="N124" s="204"/>
      <c r="O124" s="204"/>
      <c r="P124" s="204">
        <f t="shared" si="5"/>
        <v>9550000</v>
      </c>
      <c r="Q124" s="205">
        <f>100000+100000+200000+100000+200000+100000+500000+1000000+1000000+1000000+200000+1000000+1000000+1000000+1000000+500000</f>
        <v>9000000</v>
      </c>
      <c r="R124" s="206">
        <v>50000</v>
      </c>
      <c r="S124" s="204">
        <f>50000+100000+50000+50000+50000+50000+100000+50000</f>
        <v>500000</v>
      </c>
      <c r="T124" s="207">
        <f t="shared" si="9"/>
        <v>200000</v>
      </c>
      <c r="U124" s="207">
        <f>S124-200000</f>
        <v>300000</v>
      </c>
      <c r="V124" s="207"/>
      <c r="W124" s="208">
        <f t="shared" si="7"/>
        <v>0</v>
      </c>
      <c r="X124" s="209">
        <f t="shared" si="8"/>
        <v>90</v>
      </c>
    </row>
    <row r="125" spans="1:24" ht="18.75" x14ac:dyDescent="0.3">
      <c r="A125" s="1">
        <v>123</v>
      </c>
      <c r="B125" s="1" t="s">
        <v>6</v>
      </c>
      <c r="C125" s="12">
        <v>150000</v>
      </c>
      <c r="D125" s="12">
        <v>50000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>
        <f t="shared" si="5"/>
        <v>200000</v>
      </c>
      <c r="Q125" s="2">
        <v>100000</v>
      </c>
      <c r="R125" s="3">
        <v>50000</v>
      </c>
      <c r="S125" s="12">
        <v>50000</v>
      </c>
      <c r="T125" s="26">
        <f t="shared" si="9"/>
        <v>50000</v>
      </c>
      <c r="U125" s="26">
        <v>0</v>
      </c>
      <c r="V125" s="26"/>
      <c r="W125" s="22">
        <f t="shared" si="7"/>
        <v>0</v>
      </c>
      <c r="X125" s="11">
        <f t="shared" si="8"/>
        <v>1</v>
      </c>
    </row>
    <row r="126" spans="1:24" ht="18.75" x14ac:dyDescent="0.3">
      <c r="A126" s="1">
        <v>124</v>
      </c>
      <c r="B126" s="1" t="s">
        <v>123</v>
      </c>
      <c r="C126" s="12">
        <v>300000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>
        <f t="shared" si="5"/>
        <v>300000</v>
      </c>
      <c r="Q126" s="2">
        <v>200000</v>
      </c>
      <c r="R126" s="3">
        <v>50000</v>
      </c>
      <c r="S126" s="12">
        <v>50000</v>
      </c>
      <c r="T126" s="26">
        <f t="shared" si="9"/>
        <v>50000</v>
      </c>
      <c r="U126" s="26">
        <f>S126-50000</f>
        <v>0</v>
      </c>
      <c r="V126" s="26"/>
      <c r="W126" s="22">
        <f t="shared" si="7"/>
        <v>0</v>
      </c>
      <c r="X126" s="11">
        <f t="shared" si="8"/>
        <v>2</v>
      </c>
    </row>
    <row r="127" spans="1:24" ht="18" customHeight="1" x14ac:dyDescent="0.3">
      <c r="A127" s="1">
        <v>125</v>
      </c>
      <c r="B127" s="1" t="s">
        <v>124</v>
      </c>
      <c r="C127" s="12">
        <v>1100000</v>
      </c>
      <c r="D127" s="12"/>
      <c r="E127" s="12">
        <v>50000</v>
      </c>
      <c r="F127" s="12">
        <v>50000</v>
      </c>
      <c r="G127" s="12">
        <v>50000</v>
      </c>
      <c r="H127" s="12">
        <v>50000</v>
      </c>
      <c r="I127" s="12">
        <v>50000</v>
      </c>
      <c r="J127" s="12"/>
      <c r="K127" s="12"/>
      <c r="L127" s="12"/>
      <c r="M127" s="12"/>
      <c r="N127" s="12"/>
      <c r="O127" s="12"/>
      <c r="P127" s="12">
        <f t="shared" si="5"/>
        <v>1350000</v>
      </c>
      <c r="Q127" s="2">
        <f>400000+600000</f>
        <v>1000000</v>
      </c>
      <c r="R127" s="3">
        <v>50000</v>
      </c>
      <c r="S127" s="12">
        <f>50000+50000+50000+50000+50000+50000</f>
        <v>300000</v>
      </c>
      <c r="T127" s="26">
        <f t="shared" si="9"/>
        <v>200000</v>
      </c>
      <c r="U127" s="26">
        <f>S127-200000</f>
        <v>100000</v>
      </c>
      <c r="V127" s="26"/>
      <c r="W127" s="22">
        <f t="shared" si="7"/>
        <v>0</v>
      </c>
      <c r="X127" s="11">
        <f t="shared" si="8"/>
        <v>10</v>
      </c>
    </row>
    <row r="128" spans="1:24" ht="18.75" x14ac:dyDescent="0.3">
      <c r="A128" s="1">
        <v>126</v>
      </c>
      <c r="B128" s="1" t="s">
        <v>126</v>
      </c>
      <c r="C128" s="12">
        <v>1050000</v>
      </c>
      <c r="D128" s="12"/>
      <c r="E128" s="12"/>
      <c r="F128" s="12">
        <v>100000</v>
      </c>
      <c r="G128" s="12"/>
      <c r="H128" s="12">
        <v>250000</v>
      </c>
      <c r="I128" s="12"/>
      <c r="J128" s="12"/>
      <c r="K128" s="12"/>
      <c r="L128" s="12"/>
      <c r="M128" s="12"/>
      <c r="N128" s="12"/>
      <c r="O128" s="12"/>
      <c r="P128" s="12">
        <f t="shared" si="5"/>
        <v>1400000</v>
      </c>
      <c r="Q128" s="2">
        <v>1000000</v>
      </c>
      <c r="R128" s="3">
        <v>50000</v>
      </c>
      <c r="S128" s="12">
        <f>100000+250000</f>
        <v>350000</v>
      </c>
      <c r="T128" s="26">
        <f t="shared" si="9"/>
        <v>350000</v>
      </c>
      <c r="U128" s="26">
        <v>0</v>
      </c>
      <c r="V128" s="26"/>
      <c r="W128" s="22">
        <f t="shared" si="7"/>
        <v>0</v>
      </c>
      <c r="X128" s="11">
        <f t="shared" si="8"/>
        <v>10</v>
      </c>
    </row>
    <row r="129" spans="1:24" ht="18.75" x14ac:dyDescent="0.3">
      <c r="A129" s="1">
        <v>127</v>
      </c>
      <c r="B129" s="1" t="s">
        <v>127</v>
      </c>
      <c r="C129" s="12">
        <v>250000</v>
      </c>
      <c r="D129" s="12"/>
      <c r="E129" s="12"/>
      <c r="F129" s="12"/>
      <c r="G129" s="12">
        <f>50000+100000</f>
        <v>150000</v>
      </c>
      <c r="H129" s="12"/>
      <c r="I129" s="12">
        <v>50000</v>
      </c>
      <c r="J129" s="12"/>
      <c r="K129" s="12"/>
      <c r="L129" s="12"/>
      <c r="M129" s="12"/>
      <c r="N129" s="12"/>
      <c r="O129" s="12"/>
      <c r="P129" s="12">
        <f t="shared" si="5"/>
        <v>450000</v>
      </c>
      <c r="Q129" s="2">
        <v>200000</v>
      </c>
      <c r="R129" s="3">
        <v>50000</v>
      </c>
      <c r="S129" s="12">
        <f>50000+100000+50000</f>
        <v>200000</v>
      </c>
      <c r="T129" s="26">
        <f t="shared" si="9"/>
        <v>200000</v>
      </c>
      <c r="U129" s="26">
        <v>0</v>
      </c>
      <c r="V129" s="26"/>
      <c r="W129" s="22">
        <f t="shared" si="7"/>
        <v>0</v>
      </c>
      <c r="X129" s="11">
        <f t="shared" si="8"/>
        <v>2</v>
      </c>
    </row>
    <row r="130" spans="1:24" ht="18.75" x14ac:dyDescent="0.3">
      <c r="A130" s="1">
        <v>128</v>
      </c>
      <c r="B130" s="1" t="s">
        <v>128</v>
      </c>
      <c r="C130" s="12">
        <v>202000</v>
      </c>
      <c r="D130" s="12"/>
      <c r="E130" s="12">
        <v>50000</v>
      </c>
      <c r="F130" s="12"/>
      <c r="G130" s="12"/>
      <c r="H130" s="12">
        <v>150000</v>
      </c>
      <c r="I130" s="12"/>
      <c r="J130" s="12"/>
      <c r="K130" s="12"/>
      <c r="L130" s="12"/>
      <c r="M130" s="12"/>
      <c r="N130" s="12"/>
      <c r="O130" s="12"/>
      <c r="P130" s="12">
        <f t="shared" si="5"/>
        <v>402000</v>
      </c>
      <c r="Q130" s="2">
        <v>100000</v>
      </c>
      <c r="R130" s="3">
        <v>50000</v>
      </c>
      <c r="S130" s="12">
        <f>52000+50000+150000</f>
        <v>252000</v>
      </c>
      <c r="T130" s="26">
        <f t="shared" si="9"/>
        <v>250000</v>
      </c>
      <c r="U130" s="26">
        <f>S130-250000</f>
        <v>2000</v>
      </c>
      <c r="V130" s="26"/>
      <c r="W130" s="22">
        <f t="shared" si="7"/>
        <v>0</v>
      </c>
      <c r="X130" s="11">
        <f t="shared" si="8"/>
        <v>1</v>
      </c>
    </row>
    <row r="131" spans="1:24" ht="18.75" x14ac:dyDescent="0.3">
      <c r="A131" s="1">
        <v>129</v>
      </c>
      <c r="B131" s="1" t="s">
        <v>129</v>
      </c>
      <c r="C131" s="12">
        <f>250000-100000</f>
        <v>150000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>
        <f t="shared" ref="P131:P194" si="10">SUM(C131:O131)</f>
        <v>150000</v>
      </c>
      <c r="Q131" s="2">
        <v>100000</v>
      </c>
      <c r="R131" s="3">
        <v>50000</v>
      </c>
      <c r="S131" s="12"/>
      <c r="T131" s="26"/>
      <c r="U131" s="26"/>
      <c r="V131" s="26"/>
      <c r="W131" s="22">
        <f t="shared" ref="W131:W194" si="11">P131-(Q131+R131+S131)</f>
        <v>0</v>
      </c>
      <c r="X131" s="11">
        <f t="shared" ref="X131:X194" si="12">Q131/100000</f>
        <v>1</v>
      </c>
    </row>
    <row r="132" spans="1:24" s="174" customFormat="1" ht="18.75" x14ac:dyDescent="0.3">
      <c r="A132" s="166">
        <v>130</v>
      </c>
      <c r="B132" s="166" t="s">
        <v>130</v>
      </c>
      <c r="C132" s="167">
        <v>650000</v>
      </c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>
        <f t="shared" si="10"/>
        <v>650000</v>
      </c>
      <c r="Q132" s="168">
        <v>600000</v>
      </c>
      <c r="R132" s="169">
        <v>50000</v>
      </c>
      <c r="S132" s="167"/>
      <c r="T132" s="170">
        <f t="shared" ref="T132:T163" si="13">S132-U132</f>
        <v>0</v>
      </c>
      <c r="U132" s="170">
        <v>0</v>
      </c>
      <c r="V132" s="170"/>
      <c r="W132" s="171">
        <f t="shared" si="11"/>
        <v>0</v>
      </c>
      <c r="X132" s="172">
        <f t="shared" si="12"/>
        <v>6</v>
      </c>
    </row>
    <row r="133" spans="1:24" ht="18.75" x14ac:dyDescent="0.3">
      <c r="A133" s="1">
        <v>131</v>
      </c>
      <c r="B133" s="1" t="s">
        <v>131</v>
      </c>
      <c r="C133" s="12">
        <v>1150000</v>
      </c>
      <c r="D133" s="12"/>
      <c r="E133" s="12">
        <v>100000</v>
      </c>
      <c r="F133" s="12"/>
      <c r="G133" s="12">
        <f>100000+100000</f>
        <v>200000</v>
      </c>
      <c r="H133" s="12"/>
      <c r="I133" s="12"/>
      <c r="J133" s="12"/>
      <c r="K133" s="12"/>
      <c r="L133" s="12"/>
      <c r="M133" s="12"/>
      <c r="N133" s="12"/>
      <c r="O133" s="12"/>
      <c r="P133" s="12">
        <f t="shared" si="10"/>
        <v>1450000</v>
      </c>
      <c r="Q133" s="2">
        <v>1000000</v>
      </c>
      <c r="R133" s="3">
        <v>50000</v>
      </c>
      <c r="S133" s="12">
        <f>100000+100000+100000+100000</f>
        <v>400000</v>
      </c>
      <c r="T133" s="26">
        <f t="shared" si="13"/>
        <v>200000</v>
      </c>
      <c r="U133" s="26">
        <f>S133-200000</f>
        <v>200000</v>
      </c>
      <c r="V133" s="26"/>
      <c r="W133" s="22">
        <f t="shared" si="11"/>
        <v>0</v>
      </c>
      <c r="X133" s="11">
        <f t="shared" si="12"/>
        <v>10</v>
      </c>
    </row>
    <row r="134" spans="1:24" ht="18.75" x14ac:dyDescent="0.3">
      <c r="A134" s="1">
        <v>132</v>
      </c>
      <c r="B134" s="1" t="s">
        <v>132</v>
      </c>
      <c r="C134" s="12">
        <v>1050000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f t="shared" si="10"/>
        <v>1050000</v>
      </c>
      <c r="Q134" s="2">
        <v>1000000</v>
      </c>
      <c r="R134" s="3">
        <v>50000</v>
      </c>
      <c r="S134" s="12"/>
      <c r="T134" s="26">
        <f t="shared" si="13"/>
        <v>0</v>
      </c>
      <c r="U134" s="26">
        <v>0</v>
      </c>
      <c r="V134" s="26"/>
      <c r="W134" s="22">
        <f t="shared" si="11"/>
        <v>0</v>
      </c>
      <c r="X134" s="11">
        <f t="shared" si="12"/>
        <v>10</v>
      </c>
    </row>
    <row r="135" spans="1:24" ht="18.75" x14ac:dyDescent="0.3">
      <c r="A135" s="1">
        <v>133</v>
      </c>
      <c r="B135" s="1" t="s">
        <v>133</v>
      </c>
      <c r="C135" s="12">
        <v>450000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>
        <f t="shared" si="10"/>
        <v>450000</v>
      </c>
      <c r="Q135" s="2">
        <v>400000</v>
      </c>
      <c r="R135" s="3">
        <v>50000</v>
      </c>
      <c r="S135" s="12"/>
      <c r="T135" s="26">
        <f t="shared" si="13"/>
        <v>0</v>
      </c>
      <c r="U135" s="26">
        <v>0</v>
      </c>
      <c r="V135" s="26"/>
      <c r="W135" s="22">
        <f t="shared" si="11"/>
        <v>0</v>
      </c>
      <c r="X135" s="11">
        <f t="shared" si="12"/>
        <v>4</v>
      </c>
    </row>
    <row r="136" spans="1:24" ht="18.75" x14ac:dyDescent="0.3">
      <c r="A136" s="1">
        <v>134</v>
      </c>
      <c r="B136" s="1" t="s">
        <v>134</v>
      </c>
      <c r="C136" s="12">
        <v>150000</v>
      </c>
      <c r="D136" s="12">
        <v>50000</v>
      </c>
      <c r="E136" s="12">
        <v>50000</v>
      </c>
      <c r="F136" s="12"/>
      <c r="G136" s="12">
        <v>50000</v>
      </c>
      <c r="H136" s="12">
        <v>50000</v>
      </c>
      <c r="I136" s="12">
        <v>50000</v>
      </c>
      <c r="J136" s="12"/>
      <c r="K136" s="12"/>
      <c r="L136" s="12"/>
      <c r="M136" s="12"/>
      <c r="N136" s="12"/>
      <c r="O136" s="12"/>
      <c r="P136" s="12">
        <f t="shared" si="10"/>
        <v>400000</v>
      </c>
      <c r="Q136" s="2">
        <v>100000</v>
      </c>
      <c r="R136" s="3">
        <v>50000</v>
      </c>
      <c r="S136" s="12">
        <f>50000+50000+50000+50000+50000</f>
        <v>250000</v>
      </c>
      <c r="T136" s="26">
        <f t="shared" si="13"/>
        <v>250000</v>
      </c>
      <c r="U136" s="26">
        <v>0</v>
      </c>
      <c r="V136" s="26"/>
      <c r="W136" s="22">
        <f t="shared" si="11"/>
        <v>0</v>
      </c>
      <c r="X136" s="11">
        <f t="shared" si="12"/>
        <v>1</v>
      </c>
    </row>
    <row r="137" spans="1:24" ht="18.75" x14ac:dyDescent="0.3">
      <c r="A137" s="1">
        <v>135</v>
      </c>
      <c r="B137" s="1" t="s">
        <v>135</v>
      </c>
      <c r="C137" s="12">
        <v>1150000</v>
      </c>
      <c r="D137" s="12"/>
      <c r="E137" s="12">
        <v>100000</v>
      </c>
      <c r="F137" s="12">
        <v>100000</v>
      </c>
      <c r="G137" s="12"/>
      <c r="H137" s="12">
        <v>200000</v>
      </c>
      <c r="I137" s="12"/>
      <c r="J137" s="12"/>
      <c r="K137" s="12"/>
      <c r="L137" s="12"/>
      <c r="M137" s="12"/>
      <c r="N137" s="12"/>
      <c r="O137" s="12"/>
      <c r="P137" s="12">
        <f t="shared" si="10"/>
        <v>1550000</v>
      </c>
      <c r="Q137" s="2">
        <v>1000000</v>
      </c>
      <c r="R137" s="3">
        <v>50000</v>
      </c>
      <c r="S137" s="12">
        <f>100000+100000+100000+200000</f>
        <v>500000</v>
      </c>
      <c r="T137" s="26">
        <f t="shared" si="13"/>
        <v>250000</v>
      </c>
      <c r="U137" s="26">
        <f>S137-250000</f>
        <v>250000</v>
      </c>
      <c r="V137" s="26"/>
      <c r="W137" s="22">
        <f t="shared" si="11"/>
        <v>0</v>
      </c>
      <c r="X137" s="11">
        <f t="shared" si="12"/>
        <v>10</v>
      </c>
    </row>
    <row r="138" spans="1:24" ht="18.75" x14ac:dyDescent="0.3">
      <c r="A138" s="1">
        <v>136</v>
      </c>
      <c r="B138" s="1" t="s">
        <v>136</v>
      </c>
      <c r="C138" s="12">
        <v>150000</v>
      </c>
      <c r="D138" s="12"/>
      <c r="E138" s="12"/>
      <c r="F138" s="12">
        <v>100000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>
        <f t="shared" si="10"/>
        <v>250000</v>
      </c>
      <c r="Q138" s="2">
        <v>100000</v>
      </c>
      <c r="R138" s="3">
        <v>50000</v>
      </c>
      <c r="S138" s="12">
        <v>100000</v>
      </c>
      <c r="T138" s="26">
        <f t="shared" si="13"/>
        <v>100000</v>
      </c>
      <c r="U138" s="26">
        <v>0</v>
      </c>
      <c r="V138" s="26"/>
      <c r="W138" s="22">
        <f t="shared" si="11"/>
        <v>0</v>
      </c>
      <c r="X138" s="11">
        <f t="shared" si="12"/>
        <v>1</v>
      </c>
    </row>
    <row r="139" spans="1:24" ht="18.75" x14ac:dyDescent="0.3">
      <c r="A139" s="1">
        <v>137</v>
      </c>
      <c r="B139" s="1" t="s">
        <v>137</v>
      </c>
      <c r="C139" s="12">
        <v>150000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>
        <f t="shared" si="10"/>
        <v>150000</v>
      </c>
      <c r="Q139" s="2">
        <v>100000</v>
      </c>
      <c r="R139" s="3">
        <v>50000</v>
      </c>
      <c r="S139" s="12">
        <v>0</v>
      </c>
      <c r="T139" s="26">
        <f t="shared" si="13"/>
        <v>0</v>
      </c>
      <c r="U139" s="26">
        <v>0</v>
      </c>
      <c r="V139" s="26"/>
      <c r="W139" s="22">
        <f t="shared" si="11"/>
        <v>0</v>
      </c>
      <c r="X139" s="11">
        <f t="shared" si="12"/>
        <v>1</v>
      </c>
    </row>
    <row r="140" spans="1:24" ht="18.75" x14ac:dyDescent="0.3">
      <c r="A140" s="1">
        <v>138</v>
      </c>
      <c r="B140" s="1" t="s">
        <v>138</v>
      </c>
      <c r="C140" s="12">
        <v>150000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>
        <f t="shared" si="10"/>
        <v>150000</v>
      </c>
      <c r="Q140" s="2">
        <v>100000</v>
      </c>
      <c r="R140" s="3">
        <v>50000</v>
      </c>
      <c r="S140" s="12"/>
      <c r="T140" s="26">
        <f t="shared" si="13"/>
        <v>0</v>
      </c>
      <c r="U140" s="26">
        <v>0</v>
      </c>
      <c r="V140" s="26"/>
      <c r="W140" s="22">
        <f t="shared" si="11"/>
        <v>0</v>
      </c>
      <c r="X140" s="11">
        <f t="shared" si="12"/>
        <v>1</v>
      </c>
    </row>
    <row r="141" spans="1:24" ht="18.75" x14ac:dyDescent="0.3">
      <c r="A141" s="1">
        <v>139</v>
      </c>
      <c r="B141" s="1" t="s">
        <v>139</v>
      </c>
      <c r="C141" s="12">
        <v>5050000</v>
      </c>
      <c r="D141" s="12">
        <v>60000</v>
      </c>
      <c r="E141" s="12">
        <v>50000</v>
      </c>
      <c r="F141" s="12">
        <f>1500000+2500000+50000</f>
        <v>4050000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>
        <f t="shared" si="10"/>
        <v>9210000</v>
      </c>
      <c r="Q141" s="2">
        <f>300000+700000+1000000+3000000+1500000+2500000</f>
        <v>9000000</v>
      </c>
      <c r="R141" s="3">
        <v>50000</v>
      </c>
      <c r="S141" s="12">
        <f>60000+50000+50000</f>
        <v>160000</v>
      </c>
      <c r="T141" s="26">
        <f t="shared" si="13"/>
        <v>150000</v>
      </c>
      <c r="U141" s="26">
        <v>10000</v>
      </c>
      <c r="V141" s="26"/>
      <c r="W141" s="22">
        <f t="shared" si="11"/>
        <v>0</v>
      </c>
      <c r="X141" s="11">
        <f t="shared" si="12"/>
        <v>90</v>
      </c>
    </row>
    <row r="142" spans="1:24" ht="18.75" x14ac:dyDescent="0.3">
      <c r="A142" s="1">
        <v>140</v>
      </c>
      <c r="B142" s="1" t="s">
        <v>140</v>
      </c>
      <c r="C142" s="12">
        <v>250000</v>
      </c>
      <c r="D142" s="12"/>
      <c r="E142" s="12"/>
      <c r="F142" s="12"/>
      <c r="G142" s="12"/>
      <c r="H142" s="12">
        <v>50000</v>
      </c>
      <c r="I142" s="12"/>
      <c r="J142" s="12"/>
      <c r="K142" s="12"/>
      <c r="L142" s="12"/>
      <c r="M142" s="12"/>
      <c r="N142" s="12"/>
      <c r="O142" s="12"/>
      <c r="P142" s="12">
        <f t="shared" si="10"/>
        <v>300000</v>
      </c>
      <c r="Q142" s="2">
        <v>200000</v>
      </c>
      <c r="R142" s="3">
        <v>50000</v>
      </c>
      <c r="S142" s="12">
        <v>50000</v>
      </c>
      <c r="T142" s="26">
        <f t="shared" si="13"/>
        <v>50000</v>
      </c>
      <c r="U142" s="26">
        <v>0</v>
      </c>
      <c r="V142" s="26"/>
      <c r="W142" s="22">
        <f t="shared" si="11"/>
        <v>0</v>
      </c>
      <c r="X142" s="11">
        <f t="shared" si="12"/>
        <v>2</v>
      </c>
    </row>
    <row r="143" spans="1:24" ht="18.75" x14ac:dyDescent="0.3">
      <c r="A143" s="1">
        <v>141</v>
      </c>
      <c r="B143" s="1" t="s">
        <v>141</v>
      </c>
      <c r="C143" s="12">
        <v>2000000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f t="shared" si="10"/>
        <v>2000000</v>
      </c>
      <c r="Q143" s="2">
        <v>2000000</v>
      </c>
      <c r="R143" s="3">
        <v>0</v>
      </c>
      <c r="S143" s="12"/>
      <c r="T143" s="26">
        <f t="shared" si="13"/>
        <v>0</v>
      </c>
      <c r="U143" s="26">
        <v>0</v>
      </c>
      <c r="V143" s="26"/>
      <c r="W143" s="22">
        <f t="shared" si="11"/>
        <v>0</v>
      </c>
      <c r="X143" s="11">
        <f t="shared" si="12"/>
        <v>20</v>
      </c>
    </row>
    <row r="144" spans="1:24" ht="18.75" x14ac:dyDescent="0.3">
      <c r="A144" s="1">
        <v>142</v>
      </c>
      <c r="B144" s="1" t="s">
        <v>337</v>
      </c>
      <c r="C144" s="12"/>
      <c r="D144" s="12">
        <v>100000</v>
      </c>
      <c r="E144" s="12">
        <v>50000</v>
      </c>
      <c r="F144" s="56"/>
      <c r="G144" s="12">
        <f>50000+50000</f>
        <v>100000</v>
      </c>
      <c r="H144" s="12"/>
      <c r="I144" s="12">
        <f>50000+50000</f>
        <v>100000</v>
      </c>
      <c r="J144" s="12"/>
      <c r="K144" s="12"/>
      <c r="L144" s="12"/>
      <c r="M144" s="12"/>
      <c r="N144" s="12"/>
      <c r="O144" s="12"/>
      <c r="P144" s="12">
        <f t="shared" si="10"/>
        <v>350000</v>
      </c>
      <c r="Q144" s="2"/>
      <c r="R144" s="3">
        <v>50000</v>
      </c>
      <c r="S144" s="12">
        <f>50000+50000+50000+50000+50000+50000</f>
        <v>300000</v>
      </c>
      <c r="T144" s="26">
        <f t="shared" si="13"/>
        <v>200000</v>
      </c>
      <c r="U144" s="26">
        <f>S144-200000</f>
        <v>100000</v>
      </c>
      <c r="V144" s="26"/>
      <c r="W144" s="22">
        <f t="shared" si="11"/>
        <v>0</v>
      </c>
      <c r="X144" s="11">
        <f t="shared" si="12"/>
        <v>0</v>
      </c>
    </row>
    <row r="145" spans="1:24" s="132" customFormat="1" ht="18.75" x14ac:dyDescent="0.3">
      <c r="A145" s="126">
        <v>143</v>
      </c>
      <c r="B145" s="126" t="s">
        <v>142</v>
      </c>
      <c r="C145" s="113">
        <v>150000</v>
      </c>
      <c r="D145" s="113"/>
      <c r="E145" s="113"/>
      <c r="F145" s="113"/>
      <c r="G145" s="113">
        <v>50000</v>
      </c>
      <c r="H145" s="113">
        <v>50000</v>
      </c>
      <c r="I145" s="113">
        <v>50000</v>
      </c>
      <c r="J145" s="113">
        <v>50000</v>
      </c>
      <c r="K145" s="113"/>
      <c r="L145" s="113"/>
      <c r="M145" s="113"/>
      <c r="N145" s="113"/>
      <c r="O145" s="113"/>
      <c r="P145" s="113">
        <f t="shared" si="10"/>
        <v>350000</v>
      </c>
      <c r="Q145" s="127">
        <v>100000</v>
      </c>
      <c r="R145" s="128">
        <v>50000</v>
      </c>
      <c r="S145" s="113">
        <f>50000+50000+50000+50000</f>
        <v>200000</v>
      </c>
      <c r="T145" s="129">
        <f t="shared" si="13"/>
        <v>200000</v>
      </c>
      <c r="U145" s="129">
        <v>0</v>
      </c>
      <c r="V145" s="129"/>
      <c r="W145" s="130">
        <f t="shared" si="11"/>
        <v>0</v>
      </c>
      <c r="X145" s="131">
        <f t="shared" si="12"/>
        <v>1</v>
      </c>
    </row>
    <row r="146" spans="1:24" ht="18.75" x14ac:dyDescent="0.3">
      <c r="A146" s="1">
        <v>144</v>
      </c>
      <c r="B146" s="1" t="s">
        <v>143</v>
      </c>
      <c r="C146" s="12">
        <v>150000</v>
      </c>
      <c r="D146" s="12"/>
      <c r="E146" s="12"/>
      <c r="F146" s="12"/>
      <c r="G146" s="12">
        <f>50000+100000+100000+100000+50000</f>
        <v>400000</v>
      </c>
      <c r="H146" s="12">
        <f>100000+100000</f>
        <v>200000</v>
      </c>
      <c r="I146" s="12">
        <v>-300000</v>
      </c>
      <c r="J146" s="12"/>
      <c r="K146" s="12"/>
      <c r="L146" s="12"/>
      <c r="M146" s="12"/>
      <c r="N146" s="12"/>
      <c r="O146" s="12"/>
      <c r="P146" s="12">
        <f t="shared" si="10"/>
        <v>450000</v>
      </c>
      <c r="Q146" s="2">
        <v>100000</v>
      </c>
      <c r="R146" s="3">
        <v>50000</v>
      </c>
      <c r="S146" s="12">
        <f>50000+100000+100000+100000+50000+100000+100000-300000</f>
        <v>300000</v>
      </c>
      <c r="T146" s="26">
        <f t="shared" si="13"/>
        <v>250000</v>
      </c>
      <c r="U146" s="26">
        <v>50000</v>
      </c>
      <c r="V146" s="22">
        <v>300000</v>
      </c>
      <c r="W146" s="22">
        <f t="shared" si="11"/>
        <v>0</v>
      </c>
      <c r="X146" s="11">
        <f t="shared" si="12"/>
        <v>1</v>
      </c>
    </row>
    <row r="147" spans="1:24" ht="18.75" x14ac:dyDescent="0.3">
      <c r="A147" s="1">
        <v>145</v>
      </c>
      <c r="B147" s="4" t="s">
        <v>144</v>
      </c>
      <c r="C147" s="12">
        <v>250000</v>
      </c>
      <c r="D147" s="12"/>
      <c r="E147" s="12"/>
      <c r="F147" s="12">
        <f>200000+150000</f>
        <v>350000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f t="shared" si="10"/>
        <v>600000</v>
      </c>
      <c r="Q147" s="2">
        <f>100000+100000</f>
        <v>200000</v>
      </c>
      <c r="R147" s="3">
        <v>50000</v>
      </c>
      <c r="S147" s="12">
        <f>200000+150000</f>
        <v>350000</v>
      </c>
      <c r="T147" s="26">
        <f t="shared" si="13"/>
        <v>250000</v>
      </c>
      <c r="U147" s="26">
        <v>100000</v>
      </c>
      <c r="V147" s="26"/>
      <c r="W147" s="22">
        <f t="shared" si="11"/>
        <v>0</v>
      </c>
      <c r="X147" s="11">
        <f t="shared" si="12"/>
        <v>2</v>
      </c>
    </row>
    <row r="148" spans="1:24" ht="18.75" x14ac:dyDescent="0.3">
      <c r="A148" s="1">
        <v>146</v>
      </c>
      <c r="B148" s="4" t="s">
        <v>145</v>
      </c>
      <c r="C148" s="12">
        <v>250000</v>
      </c>
      <c r="D148" s="12"/>
      <c r="E148" s="12"/>
      <c r="F148" s="12"/>
      <c r="G148" s="12">
        <v>100000</v>
      </c>
      <c r="H148" s="12"/>
      <c r="I148" s="12"/>
      <c r="J148" s="12"/>
      <c r="K148" s="12"/>
      <c r="L148" s="12"/>
      <c r="M148" s="12"/>
      <c r="N148" s="12"/>
      <c r="O148" s="12"/>
      <c r="P148" s="12">
        <f t="shared" si="10"/>
        <v>350000</v>
      </c>
      <c r="Q148" s="2">
        <v>200000</v>
      </c>
      <c r="R148" s="3">
        <v>50000</v>
      </c>
      <c r="S148" s="12">
        <v>100000</v>
      </c>
      <c r="T148" s="26">
        <f t="shared" si="13"/>
        <v>100000</v>
      </c>
      <c r="U148" s="26">
        <v>0</v>
      </c>
      <c r="V148" s="26"/>
      <c r="W148" s="22">
        <f t="shared" si="11"/>
        <v>0</v>
      </c>
      <c r="X148" s="11">
        <f t="shared" si="12"/>
        <v>2</v>
      </c>
    </row>
    <row r="149" spans="1:24" ht="18.75" x14ac:dyDescent="0.3">
      <c r="A149" s="1">
        <v>147</v>
      </c>
      <c r="B149" s="1" t="s">
        <v>146</v>
      </c>
      <c r="C149" s="12">
        <v>6003000</v>
      </c>
      <c r="D149" s="12"/>
      <c r="E149" s="12">
        <f>100000+2000000</f>
        <v>2100000</v>
      </c>
      <c r="F149" s="12">
        <v>1000000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>
        <f t="shared" si="10"/>
        <v>9103000</v>
      </c>
      <c r="Q149" s="2">
        <f>1300000+3000000+1700000+2000000+1000000</f>
        <v>9000000</v>
      </c>
      <c r="R149" s="3">
        <v>0</v>
      </c>
      <c r="S149" s="12">
        <f>3000+100000</f>
        <v>103000</v>
      </c>
      <c r="T149" s="26">
        <f t="shared" si="13"/>
        <v>100000</v>
      </c>
      <c r="U149" s="26">
        <v>3000</v>
      </c>
      <c r="V149" s="26"/>
      <c r="W149" s="22">
        <f t="shared" si="11"/>
        <v>0</v>
      </c>
      <c r="X149" s="11">
        <f t="shared" si="12"/>
        <v>90</v>
      </c>
    </row>
    <row r="150" spans="1:24" ht="18.75" x14ac:dyDescent="0.3">
      <c r="A150" s="1">
        <v>148</v>
      </c>
      <c r="B150" s="1" t="s">
        <v>147</v>
      </c>
      <c r="C150" s="12">
        <v>150000</v>
      </c>
      <c r="D150" s="12"/>
      <c r="E150" s="12">
        <v>100000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>
        <f t="shared" si="10"/>
        <v>250000</v>
      </c>
      <c r="Q150" s="3">
        <v>100000</v>
      </c>
      <c r="R150" s="3">
        <v>50000</v>
      </c>
      <c r="S150" s="12">
        <v>100000</v>
      </c>
      <c r="T150" s="26">
        <f t="shared" si="13"/>
        <v>100000</v>
      </c>
      <c r="U150" s="26">
        <v>0</v>
      </c>
      <c r="V150" s="26"/>
      <c r="W150" s="22">
        <f t="shared" si="11"/>
        <v>0</v>
      </c>
      <c r="X150" s="11">
        <f t="shared" si="12"/>
        <v>1</v>
      </c>
    </row>
    <row r="151" spans="1:24" ht="18.75" x14ac:dyDescent="0.3">
      <c r="A151" s="1">
        <v>149</v>
      </c>
      <c r="B151" s="1" t="s">
        <v>148</v>
      </c>
      <c r="C151" s="12">
        <v>4600000</v>
      </c>
      <c r="D151" s="12"/>
      <c r="E151" s="12">
        <v>50000</v>
      </c>
      <c r="F151" s="12">
        <f>4000000+50000</f>
        <v>4050000</v>
      </c>
      <c r="G151" s="12">
        <v>50000</v>
      </c>
      <c r="H151" s="12">
        <f>3000000+3100000</f>
        <v>6100000</v>
      </c>
      <c r="I151" s="12"/>
      <c r="J151" s="12"/>
      <c r="K151" s="12"/>
      <c r="L151" s="12"/>
      <c r="M151" s="12"/>
      <c r="N151" s="12"/>
      <c r="O151" s="12"/>
      <c r="P151" s="12">
        <f t="shared" si="10"/>
        <v>14850000</v>
      </c>
      <c r="Q151" s="2">
        <f>500000+500000+500000</f>
        <v>1500000</v>
      </c>
      <c r="R151" s="3">
        <v>50000</v>
      </c>
      <c r="S151" s="12">
        <f>3000000+50000+50000+4000000+50000+50000+3000000+3100000</f>
        <v>13300000</v>
      </c>
      <c r="T151" s="26">
        <f t="shared" si="13"/>
        <v>300000</v>
      </c>
      <c r="U151" s="26">
        <f>S151-300000</f>
        <v>13000000</v>
      </c>
      <c r="V151" s="26"/>
      <c r="W151" s="22">
        <f t="shared" si="11"/>
        <v>0</v>
      </c>
      <c r="X151" s="11">
        <f t="shared" si="12"/>
        <v>15</v>
      </c>
    </row>
    <row r="152" spans="1:24" ht="18.75" x14ac:dyDescent="0.3">
      <c r="A152" s="1">
        <v>150</v>
      </c>
      <c r="B152" s="1" t="s">
        <v>149</v>
      </c>
      <c r="C152" s="12">
        <v>200000</v>
      </c>
      <c r="D152" s="12"/>
      <c r="E152" s="12">
        <v>50000</v>
      </c>
      <c r="F152" s="12">
        <v>50000</v>
      </c>
      <c r="G152" s="12">
        <v>50000</v>
      </c>
      <c r="H152" s="12">
        <v>50000</v>
      </c>
      <c r="I152" s="60">
        <v>50000</v>
      </c>
      <c r="J152" s="12"/>
      <c r="K152" s="12"/>
      <c r="L152" s="12"/>
      <c r="M152" s="12"/>
      <c r="N152" s="12"/>
      <c r="O152" s="12"/>
      <c r="P152" s="12">
        <f t="shared" si="10"/>
        <v>450000</v>
      </c>
      <c r="Q152" s="2">
        <v>100000</v>
      </c>
      <c r="R152" s="3">
        <v>50000</v>
      </c>
      <c r="S152" s="12">
        <f>50000+50000+50000+50000+50000+50000</f>
        <v>300000</v>
      </c>
      <c r="T152" s="26">
        <f t="shared" si="13"/>
        <v>200000</v>
      </c>
      <c r="U152" s="26">
        <f>S152-200000</f>
        <v>100000</v>
      </c>
      <c r="V152" s="26"/>
      <c r="W152" s="22">
        <f t="shared" si="11"/>
        <v>0</v>
      </c>
      <c r="X152" s="11">
        <f t="shared" si="12"/>
        <v>1</v>
      </c>
    </row>
    <row r="153" spans="1:24" ht="18.75" x14ac:dyDescent="0.3">
      <c r="A153" s="1">
        <v>151</v>
      </c>
      <c r="B153" s="1" t="s">
        <v>150</v>
      </c>
      <c r="C153" s="12">
        <v>4000000</v>
      </c>
      <c r="D153" s="12"/>
      <c r="E153" s="12"/>
      <c r="F153" s="12"/>
      <c r="G153" s="12">
        <v>2000000</v>
      </c>
      <c r="H153" s="12"/>
      <c r="I153" s="12"/>
      <c r="J153" s="12"/>
      <c r="K153" s="12"/>
      <c r="L153" s="12"/>
      <c r="M153" s="12"/>
      <c r="N153" s="12"/>
      <c r="O153" s="12"/>
      <c r="P153" s="12">
        <f t="shared" si="10"/>
        <v>6000000</v>
      </c>
      <c r="Q153" s="2">
        <f>4000000+2000000</f>
        <v>6000000</v>
      </c>
      <c r="R153" s="3">
        <v>0</v>
      </c>
      <c r="S153" s="12"/>
      <c r="T153" s="26">
        <f t="shared" si="13"/>
        <v>0</v>
      </c>
      <c r="U153" s="26">
        <v>0</v>
      </c>
      <c r="V153" s="26"/>
      <c r="W153" s="22">
        <f t="shared" si="11"/>
        <v>0</v>
      </c>
      <c r="X153" s="11">
        <f t="shared" si="12"/>
        <v>60</v>
      </c>
    </row>
    <row r="154" spans="1:24" ht="18.75" x14ac:dyDescent="0.3">
      <c r="A154" s="1">
        <v>152</v>
      </c>
      <c r="B154" s="1" t="s">
        <v>151</v>
      </c>
      <c r="C154" s="12">
        <v>2750000</v>
      </c>
      <c r="D154" s="12"/>
      <c r="E154" s="12"/>
      <c r="F154" s="12">
        <v>400000</v>
      </c>
      <c r="G154" s="12">
        <v>400000</v>
      </c>
      <c r="H154" s="12">
        <v>400000</v>
      </c>
      <c r="I154" s="12"/>
      <c r="J154" s="12"/>
      <c r="K154" s="12"/>
      <c r="L154" s="12"/>
      <c r="M154" s="12"/>
      <c r="N154" s="12"/>
      <c r="O154" s="12"/>
      <c r="P154" s="12">
        <f t="shared" si="10"/>
        <v>3950000</v>
      </c>
      <c r="Q154" s="2">
        <f>1000000+1500000</f>
        <v>2500000</v>
      </c>
      <c r="R154" s="3">
        <v>50000</v>
      </c>
      <c r="S154" s="12">
        <f>200000+400000+400000+400000</f>
        <v>1400000</v>
      </c>
      <c r="T154" s="26">
        <f t="shared" si="13"/>
        <v>400000</v>
      </c>
      <c r="U154" s="26">
        <f>S154-400000</f>
        <v>1000000</v>
      </c>
      <c r="V154" s="26"/>
      <c r="W154" s="22">
        <f t="shared" si="11"/>
        <v>0</v>
      </c>
      <c r="X154" s="11">
        <f t="shared" si="12"/>
        <v>25</v>
      </c>
    </row>
    <row r="155" spans="1:24" ht="18.75" x14ac:dyDescent="0.3">
      <c r="A155" s="1">
        <v>153</v>
      </c>
      <c r="B155" s="1" t="s">
        <v>152</v>
      </c>
      <c r="C155" s="12">
        <v>150000</v>
      </c>
      <c r="D155" s="12"/>
      <c r="E155" s="12">
        <v>100000</v>
      </c>
      <c r="F155" s="12"/>
      <c r="G155" s="12"/>
      <c r="H155" s="12">
        <v>300000</v>
      </c>
      <c r="I155" s="12">
        <f>250000+180000</f>
        <v>430000</v>
      </c>
      <c r="J155" s="12"/>
      <c r="K155" s="12"/>
      <c r="L155" s="12"/>
      <c r="M155" s="12"/>
      <c r="N155" s="12"/>
      <c r="O155" s="12"/>
      <c r="P155" s="12">
        <f t="shared" si="10"/>
        <v>980000</v>
      </c>
      <c r="Q155" s="8">
        <v>100000</v>
      </c>
      <c r="R155" s="3">
        <v>50000</v>
      </c>
      <c r="S155" s="12">
        <f>100000+300000+250000+180000</f>
        <v>830000</v>
      </c>
      <c r="T155" s="26">
        <f t="shared" si="13"/>
        <v>680000</v>
      </c>
      <c r="U155" s="26">
        <v>150000</v>
      </c>
      <c r="V155" s="26"/>
      <c r="W155" s="22">
        <f t="shared" si="11"/>
        <v>0</v>
      </c>
      <c r="X155" s="11">
        <f t="shared" si="12"/>
        <v>1</v>
      </c>
    </row>
    <row r="156" spans="1:24" s="122" customFormat="1" ht="18.75" x14ac:dyDescent="0.3">
      <c r="A156" s="115">
        <v>154</v>
      </c>
      <c r="B156" s="115" t="s">
        <v>153</v>
      </c>
      <c r="C156" s="116">
        <v>2550000</v>
      </c>
      <c r="D156" s="116">
        <v>50000</v>
      </c>
      <c r="E156" s="116">
        <f>50000+1000000</f>
        <v>1050000</v>
      </c>
      <c r="F156" s="116">
        <v>50000</v>
      </c>
      <c r="G156" s="116">
        <f>50000+400000</f>
        <v>450000</v>
      </c>
      <c r="H156" s="116">
        <f>50000+250000</f>
        <v>300000</v>
      </c>
      <c r="I156" s="116">
        <f>50000-1900000</f>
        <v>-1850000</v>
      </c>
      <c r="J156" s="116">
        <v>50000</v>
      </c>
      <c r="K156" s="116">
        <v>50000</v>
      </c>
      <c r="L156" s="116">
        <v>50000</v>
      </c>
      <c r="M156" s="116">
        <v>50000</v>
      </c>
      <c r="N156" s="116">
        <v>50000</v>
      </c>
      <c r="O156" s="116">
        <v>50000</v>
      </c>
      <c r="P156" s="116">
        <f t="shared" si="10"/>
        <v>2900000</v>
      </c>
      <c r="Q156" s="117">
        <f>500000+500000+1500000</f>
        <v>2500000</v>
      </c>
      <c r="R156" s="118">
        <v>50000</v>
      </c>
      <c r="S156" s="116">
        <f>600000+1000000+400000+250000-1900000</f>
        <v>350000</v>
      </c>
      <c r="T156" s="119">
        <f t="shared" si="13"/>
        <v>300000</v>
      </c>
      <c r="U156" s="119">
        <v>50000</v>
      </c>
      <c r="V156" s="119">
        <v>1900000</v>
      </c>
      <c r="W156" s="120">
        <f t="shared" si="11"/>
        <v>0</v>
      </c>
      <c r="X156" s="121">
        <f t="shared" si="12"/>
        <v>25</v>
      </c>
    </row>
    <row r="157" spans="1:24" ht="18.75" x14ac:dyDescent="0.3">
      <c r="A157" s="1">
        <v>155</v>
      </c>
      <c r="B157" s="1" t="s">
        <v>125</v>
      </c>
      <c r="C157" s="12">
        <v>250000</v>
      </c>
      <c r="D157" s="12"/>
      <c r="E157" s="12"/>
      <c r="F157" s="12"/>
      <c r="G157" s="12">
        <f>100000+50000+50000</f>
        <v>200000</v>
      </c>
      <c r="H157" s="12"/>
      <c r="I157" s="12"/>
      <c r="J157" s="12"/>
      <c r="K157" s="12"/>
      <c r="L157" s="12"/>
      <c r="M157" s="12"/>
      <c r="N157" s="12"/>
      <c r="O157" s="12"/>
      <c r="P157" s="12">
        <f t="shared" si="10"/>
        <v>450000</v>
      </c>
      <c r="Q157" s="2">
        <v>200000</v>
      </c>
      <c r="R157" s="3">
        <v>50000</v>
      </c>
      <c r="S157" s="12">
        <f>100000+50000+50000</f>
        <v>200000</v>
      </c>
      <c r="T157" s="26">
        <f t="shared" si="13"/>
        <v>200000</v>
      </c>
      <c r="U157" s="26">
        <v>0</v>
      </c>
      <c r="V157" s="26"/>
      <c r="W157" s="22">
        <f t="shared" si="11"/>
        <v>0</v>
      </c>
      <c r="X157" s="11">
        <f t="shared" si="12"/>
        <v>2</v>
      </c>
    </row>
    <row r="158" spans="1:24" ht="18.75" x14ac:dyDescent="0.3">
      <c r="A158" s="1">
        <v>156</v>
      </c>
      <c r="B158" s="1" t="s">
        <v>154</v>
      </c>
      <c r="C158" s="12">
        <v>150000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>
        <f t="shared" si="10"/>
        <v>150000</v>
      </c>
      <c r="Q158" s="2">
        <v>100000</v>
      </c>
      <c r="R158" s="3">
        <v>50000</v>
      </c>
      <c r="S158" s="12"/>
      <c r="T158" s="26">
        <f t="shared" si="13"/>
        <v>0</v>
      </c>
      <c r="U158" s="26">
        <v>0</v>
      </c>
      <c r="V158" s="26"/>
      <c r="W158" s="22">
        <f t="shared" si="11"/>
        <v>0</v>
      </c>
      <c r="X158" s="11">
        <f t="shared" si="12"/>
        <v>1</v>
      </c>
    </row>
    <row r="159" spans="1:24" ht="18.75" x14ac:dyDescent="0.3">
      <c r="A159" s="1">
        <v>157</v>
      </c>
      <c r="B159" s="1" t="s">
        <v>155</v>
      </c>
      <c r="C159" s="12">
        <v>400000</v>
      </c>
      <c r="D159" s="12"/>
      <c r="E159" s="12"/>
      <c r="F159" s="12"/>
      <c r="G159" s="12"/>
      <c r="H159" s="12">
        <v>200000</v>
      </c>
      <c r="I159" s="12"/>
      <c r="J159" s="12"/>
      <c r="K159" s="12"/>
      <c r="L159" s="12"/>
      <c r="M159" s="12"/>
      <c r="N159" s="12"/>
      <c r="O159" s="12"/>
      <c r="P159" s="12">
        <f t="shared" si="10"/>
        <v>600000</v>
      </c>
      <c r="Q159" s="2">
        <v>300000</v>
      </c>
      <c r="R159" s="3">
        <v>50000</v>
      </c>
      <c r="S159" s="12">
        <f>50000+200000</f>
        <v>250000</v>
      </c>
      <c r="T159" s="26">
        <f t="shared" si="13"/>
        <v>250000</v>
      </c>
      <c r="U159" s="26">
        <f>S159-250000</f>
        <v>0</v>
      </c>
      <c r="V159" s="26"/>
      <c r="W159" s="22">
        <f t="shared" si="11"/>
        <v>0</v>
      </c>
      <c r="X159" s="11">
        <f t="shared" si="12"/>
        <v>3</v>
      </c>
    </row>
    <row r="160" spans="1:24" ht="18.75" x14ac:dyDescent="0.3">
      <c r="A160" s="1">
        <v>158</v>
      </c>
      <c r="B160" s="1" t="s">
        <v>156</v>
      </c>
      <c r="C160" s="12">
        <v>250000</v>
      </c>
      <c r="D160" s="12"/>
      <c r="E160" s="12"/>
      <c r="F160" s="12">
        <v>97000</v>
      </c>
      <c r="G160" s="12"/>
      <c r="H160" s="12">
        <v>50000</v>
      </c>
      <c r="I160" s="12"/>
      <c r="J160" s="12"/>
      <c r="K160" s="12"/>
      <c r="L160" s="12"/>
      <c r="M160" s="12"/>
      <c r="N160" s="12"/>
      <c r="O160" s="12"/>
      <c r="P160" s="12">
        <f t="shared" si="10"/>
        <v>397000</v>
      </c>
      <c r="Q160" s="2">
        <v>100000</v>
      </c>
      <c r="R160" s="3">
        <v>50000</v>
      </c>
      <c r="S160" s="12">
        <f>100000+97000+50000</f>
        <v>247000</v>
      </c>
      <c r="T160" s="26">
        <f t="shared" si="13"/>
        <v>150000</v>
      </c>
      <c r="U160" s="26">
        <f>S160-150000</f>
        <v>97000</v>
      </c>
      <c r="V160" s="26"/>
      <c r="W160" s="22">
        <f t="shared" si="11"/>
        <v>0</v>
      </c>
      <c r="X160" s="11">
        <f t="shared" si="12"/>
        <v>1</v>
      </c>
    </row>
    <row r="161" spans="1:24" ht="18.75" x14ac:dyDescent="0.3">
      <c r="A161" s="1">
        <v>159</v>
      </c>
      <c r="B161" s="1" t="s">
        <v>157</v>
      </c>
      <c r="C161" s="12">
        <v>300000</v>
      </c>
      <c r="D161" s="12"/>
      <c r="E161" s="12">
        <v>50000</v>
      </c>
      <c r="F161" s="12">
        <v>50000</v>
      </c>
      <c r="G161" s="12">
        <v>50000</v>
      </c>
      <c r="H161" s="12">
        <v>50000</v>
      </c>
      <c r="I161" s="12">
        <v>50000</v>
      </c>
      <c r="J161" s="12"/>
      <c r="K161" s="12"/>
      <c r="L161" s="12"/>
      <c r="M161" s="12"/>
      <c r="N161" s="12"/>
      <c r="O161" s="12"/>
      <c r="P161" s="12">
        <f t="shared" si="10"/>
        <v>550000</v>
      </c>
      <c r="Q161" s="2">
        <v>200000</v>
      </c>
      <c r="R161" s="3">
        <v>50000</v>
      </c>
      <c r="S161" s="12">
        <f>50000+50000+50000+50000+50000+50000</f>
        <v>300000</v>
      </c>
      <c r="T161" s="26">
        <f t="shared" si="13"/>
        <v>200000</v>
      </c>
      <c r="U161" s="26">
        <f>S161-200000</f>
        <v>100000</v>
      </c>
      <c r="V161" s="26"/>
      <c r="W161" s="22">
        <f t="shared" si="11"/>
        <v>0</v>
      </c>
      <c r="X161" s="11">
        <f t="shared" si="12"/>
        <v>2</v>
      </c>
    </row>
    <row r="162" spans="1:24" ht="18.75" x14ac:dyDescent="0.3">
      <c r="A162" s="1">
        <v>160</v>
      </c>
      <c r="B162" s="1" t="s">
        <v>158</v>
      </c>
      <c r="C162" s="12">
        <v>150000</v>
      </c>
      <c r="D162" s="12"/>
      <c r="E162" s="12">
        <v>50000</v>
      </c>
      <c r="F162" s="12">
        <v>50000</v>
      </c>
      <c r="G162" s="12">
        <v>50000</v>
      </c>
      <c r="H162" s="12">
        <f>50000+100000</f>
        <v>150000</v>
      </c>
      <c r="I162" s="12"/>
      <c r="J162" s="12"/>
      <c r="K162" s="12"/>
      <c r="L162" s="12"/>
      <c r="M162" s="12"/>
      <c r="N162" s="12"/>
      <c r="O162" s="12"/>
      <c r="P162" s="12">
        <f t="shared" si="10"/>
        <v>450000</v>
      </c>
      <c r="Q162" s="2">
        <v>100000</v>
      </c>
      <c r="R162" s="3">
        <v>50000</v>
      </c>
      <c r="S162" s="12">
        <f>50000+50000+50000+50000+100000</f>
        <v>300000</v>
      </c>
      <c r="T162" s="26">
        <f t="shared" si="13"/>
        <v>300000</v>
      </c>
      <c r="U162" s="26">
        <v>0</v>
      </c>
      <c r="V162" s="26"/>
      <c r="W162" s="22">
        <f t="shared" si="11"/>
        <v>0</v>
      </c>
      <c r="X162" s="11">
        <f t="shared" si="12"/>
        <v>1</v>
      </c>
    </row>
    <row r="163" spans="1:24" ht="18.75" x14ac:dyDescent="0.3">
      <c r="A163" s="1">
        <v>161</v>
      </c>
      <c r="B163" s="1" t="s">
        <v>159</v>
      </c>
      <c r="C163" s="12">
        <v>650000</v>
      </c>
      <c r="D163" s="12"/>
      <c r="E163" s="12">
        <v>200000</v>
      </c>
      <c r="F163" s="12">
        <v>200000</v>
      </c>
      <c r="G163" s="12">
        <v>200000</v>
      </c>
      <c r="H163" s="12"/>
      <c r="I163" s="12"/>
      <c r="J163" s="12"/>
      <c r="K163" s="12"/>
      <c r="L163" s="12"/>
      <c r="M163" s="12"/>
      <c r="N163" s="12"/>
      <c r="O163" s="12"/>
      <c r="P163" s="12">
        <f t="shared" si="10"/>
        <v>1250000</v>
      </c>
      <c r="Q163" s="2">
        <f>200000+300000</f>
        <v>500000</v>
      </c>
      <c r="R163" s="3">
        <v>50000</v>
      </c>
      <c r="S163" s="12">
        <f>100000+200000+200000+200000</f>
        <v>700000</v>
      </c>
      <c r="T163" s="26">
        <f t="shared" si="13"/>
        <v>200000</v>
      </c>
      <c r="U163" s="26">
        <f>S163-200000</f>
        <v>500000</v>
      </c>
      <c r="V163" s="26"/>
      <c r="W163" s="22">
        <f t="shared" si="11"/>
        <v>0</v>
      </c>
      <c r="X163" s="11">
        <f t="shared" si="12"/>
        <v>5</v>
      </c>
    </row>
    <row r="164" spans="1:24" ht="18.75" x14ac:dyDescent="0.3">
      <c r="A164" s="1">
        <v>162</v>
      </c>
      <c r="B164" s="1" t="s">
        <v>160</v>
      </c>
      <c r="C164" s="12">
        <v>150000</v>
      </c>
      <c r="D164" s="12">
        <v>100000</v>
      </c>
      <c r="E164" s="12"/>
      <c r="F164" s="12">
        <v>50000</v>
      </c>
      <c r="G164" s="12">
        <v>50000</v>
      </c>
      <c r="H164" s="12"/>
      <c r="I164" s="12"/>
      <c r="J164" s="12"/>
      <c r="K164" s="12"/>
      <c r="L164" s="12"/>
      <c r="M164" s="12"/>
      <c r="N164" s="12"/>
      <c r="O164" s="12"/>
      <c r="P164" s="12">
        <f t="shared" si="10"/>
        <v>350000</v>
      </c>
      <c r="Q164" s="2">
        <v>100000</v>
      </c>
      <c r="R164" s="3">
        <v>50000</v>
      </c>
      <c r="S164" s="12">
        <f>100000+50000+50000</f>
        <v>200000</v>
      </c>
      <c r="T164" s="26">
        <f t="shared" ref="T164:T195" si="14">S164-U164</f>
        <v>150000</v>
      </c>
      <c r="U164" s="26">
        <f>S164-150000</f>
        <v>50000</v>
      </c>
      <c r="V164" s="26"/>
      <c r="W164" s="22">
        <f t="shared" si="11"/>
        <v>0</v>
      </c>
      <c r="X164" s="11">
        <f t="shared" si="12"/>
        <v>1</v>
      </c>
    </row>
    <row r="165" spans="1:24" ht="18.75" x14ac:dyDescent="0.3">
      <c r="A165" s="1">
        <v>163</v>
      </c>
      <c r="B165" s="1" t="s">
        <v>161</v>
      </c>
      <c r="C165" s="12">
        <v>350000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f t="shared" si="10"/>
        <v>350000</v>
      </c>
      <c r="Q165" s="2">
        <v>300000</v>
      </c>
      <c r="R165" s="3">
        <v>50000</v>
      </c>
      <c r="S165" s="12"/>
      <c r="T165" s="26">
        <f t="shared" si="14"/>
        <v>0</v>
      </c>
      <c r="U165" s="26">
        <v>0</v>
      </c>
      <c r="V165" s="26"/>
      <c r="W165" s="22">
        <f t="shared" si="11"/>
        <v>0</v>
      </c>
      <c r="X165" s="11">
        <f t="shared" si="12"/>
        <v>3</v>
      </c>
    </row>
    <row r="166" spans="1:24" ht="18.75" x14ac:dyDescent="0.3">
      <c r="A166" s="1">
        <v>164</v>
      </c>
      <c r="B166" s="1" t="s">
        <v>162</v>
      </c>
      <c r="C166" s="12">
        <v>350000</v>
      </c>
      <c r="D166" s="12"/>
      <c r="E166" s="12"/>
      <c r="F166" s="12">
        <f>50000+50000</f>
        <v>100000</v>
      </c>
      <c r="G166" s="12"/>
      <c r="H166" s="12">
        <v>50000</v>
      </c>
      <c r="I166" s="12">
        <v>50000</v>
      </c>
      <c r="J166" s="12"/>
      <c r="K166" s="12"/>
      <c r="L166" s="12"/>
      <c r="M166" s="12"/>
      <c r="N166" s="12"/>
      <c r="O166" s="12"/>
      <c r="P166" s="12">
        <f t="shared" si="10"/>
        <v>550000</v>
      </c>
      <c r="Q166" s="2">
        <f>100000+100000</f>
        <v>200000</v>
      </c>
      <c r="R166" s="3">
        <v>50000</v>
      </c>
      <c r="S166" s="12">
        <f>5000+45000+50000+50000+50000+50000+50000</f>
        <v>300000</v>
      </c>
      <c r="T166" s="26">
        <f t="shared" si="14"/>
        <v>250000</v>
      </c>
      <c r="U166" s="26">
        <f>S166-250000</f>
        <v>50000</v>
      </c>
      <c r="V166" s="26"/>
      <c r="W166" s="22">
        <f t="shared" si="11"/>
        <v>0</v>
      </c>
      <c r="X166" s="11">
        <f t="shared" si="12"/>
        <v>2</v>
      </c>
    </row>
    <row r="167" spans="1:24" ht="18.75" x14ac:dyDescent="0.3">
      <c r="A167" s="1">
        <v>165</v>
      </c>
      <c r="B167" s="4" t="s">
        <v>163</v>
      </c>
      <c r="C167" s="12">
        <v>2250000</v>
      </c>
      <c r="D167" s="12"/>
      <c r="E167" s="12">
        <v>200000</v>
      </c>
      <c r="F167" s="12">
        <v>200000</v>
      </c>
      <c r="G167" s="12">
        <v>200000</v>
      </c>
      <c r="H167" s="12">
        <v>200000</v>
      </c>
      <c r="I167" s="12">
        <v>200000</v>
      </c>
      <c r="J167" s="12"/>
      <c r="K167" s="12"/>
      <c r="L167" s="12"/>
      <c r="M167" s="12"/>
      <c r="N167" s="12"/>
      <c r="O167" s="12"/>
      <c r="P167" s="12">
        <f t="shared" si="10"/>
        <v>3250000</v>
      </c>
      <c r="Q167" s="2">
        <f>1000000+1000000</f>
        <v>2000000</v>
      </c>
      <c r="R167" s="3">
        <v>50000</v>
      </c>
      <c r="S167" s="12">
        <f>200000+200000+200000+200000+200000+200000</f>
        <v>1200000</v>
      </c>
      <c r="T167" s="26">
        <f t="shared" si="14"/>
        <v>200000</v>
      </c>
      <c r="U167" s="26">
        <f>S167-200000</f>
        <v>1000000</v>
      </c>
      <c r="V167" s="26"/>
      <c r="W167" s="22">
        <f t="shared" si="11"/>
        <v>0</v>
      </c>
      <c r="X167" s="11">
        <f t="shared" si="12"/>
        <v>20</v>
      </c>
    </row>
    <row r="168" spans="1:24" ht="18.75" x14ac:dyDescent="0.3">
      <c r="A168" s="1">
        <v>166</v>
      </c>
      <c r="B168" s="1" t="s">
        <v>164</v>
      </c>
      <c r="C168" s="12">
        <v>300000</v>
      </c>
      <c r="D168" s="12"/>
      <c r="E168" s="12">
        <v>50000</v>
      </c>
      <c r="F168" s="12">
        <v>50000</v>
      </c>
      <c r="G168" s="12">
        <v>85000</v>
      </c>
      <c r="H168" s="12">
        <v>50000</v>
      </c>
      <c r="I168" s="12">
        <v>50000</v>
      </c>
      <c r="J168" s="12"/>
      <c r="K168" s="12"/>
      <c r="L168" s="12"/>
      <c r="M168" s="12"/>
      <c r="N168" s="12"/>
      <c r="O168" s="12"/>
      <c r="P168" s="12">
        <f t="shared" si="10"/>
        <v>585000</v>
      </c>
      <c r="Q168" s="2">
        <v>200000</v>
      </c>
      <c r="R168" s="3">
        <v>50000</v>
      </c>
      <c r="S168" s="12">
        <f>50000+50000+50000+85000+50000+50000</f>
        <v>335000</v>
      </c>
      <c r="T168" s="26">
        <f t="shared" si="14"/>
        <v>200000</v>
      </c>
      <c r="U168" s="26">
        <f>S168-200000</f>
        <v>135000</v>
      </c>
      <c r="V168" s="26"/>
      <c r="W168" s="22">
        <f t="shared" si="11"/>
        <v>0</v>
      </c>
      <c r="X168" s="11">
        <f t="shared" si="12"/>
        <v>2</v>
      </c>
    </row>
    <row r="169" spans="1:24" ht="18.75" x14ac:dyDescent="0.3">
      <c r="A169" s="1">
        <v>167</v>
      </c>
      <c r="B169" s="1" t="s">
        <v>165</v>
      </c>
      <c r="C169" s="12">
        <v>150000</v>
      </c>
      <c r="D169" s="12"/>
      <c r="E169" s="12">
        <v>50000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f t="shared" si="10"/>
        <v>200000</v>
      </c>
      <c r="Q169" s="2">
        <v>100000</v>
      </c>
      <c r="R169" s="3">
        <v>50000</v>
      </c>
      <c r="S169" s="12">
        <v>50000</v>
      </c>
      <c r="T169" s="26">
        <f t="shared" si="14"/>
        <v>50000</v>
      </c>
      <c r="U169" s="26">
        <v>0</v>
      </c>
      <c r="V169" s="26"/>
      <c r="W169" s="22">
        <f t="shared" si="11"/>
        <v>0</v>
      </c>
      <c r="X169" s="11">
        <f t="shared" si="12"/>
        <v>1</v>
      </c>
    </row>
    <row r="170" spans="1:24" ht="18.75" x14ac:dyDescent="0.3">
      <c r="A170" s="1">
        <v>168</v>
      </c>
      <c r="B170" s="1" t="s">
        <v>166</v>
      </c>
      <c r="C170" s="12">
        <v>400000</v>
      </c>
      <c r="D170" s="12"/>
      <c r="E170" s="12"/>
      <c r="F170" s="12">
        <v>195000</v>
      </c>
      <c r="G170" s="12"/>
      <c r="H170" s="12"/>
      <c r="I170" s="12">
        <v>53000</v>
      </c>
      <c r="J170" s="12"/>
      <c r="K170" s="12"/>
      <c r="L170" s="12"/>
      <c r="M170" s="12"/>
      <c r="N170" s="12"/>
      <c r="O170" s="12"/>
      <c r="P170" s="12">
        <f t="shared" si="10"/>
        <v>648000</v>
      </c>
      <c r="Q170" s="2">
        <v>300000</v>
      </c>
      <c r="R170" s="3">
        <v>50000</v>
      </c>
      <c r="S170" s="12">
        <f>50000+195000+53000</f>
        <v>298000</v>
      </c>
      <c r="T170" s="26">
        <f t="shared" si="14"/>
        <v>150000</v>
      </c>
      <c r="U170" s="26">
        <f>S170-150000</f>
        <v>148000</v>
      </c>
      <c r="V170" s="26"/>
      <c r="W170" s="22">
        <f t="shared" si="11"/>
        <v>0</v>
      </c>
      <c r="X170" s="11">
        <f t="shared" si="12"/>
        <v>3</v>
      </c>
    </row>
    <row r="171" spans="1:24" ht="18.75" x14ac:dyDescent="0.3">
      <c r="A171" s="1">
        <v>169</v>
      </c>
      <c r="B171" s="1" t="s">
        <v>167</v>
      </c>
      <c r="C171" s="12">
        <v>250000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f t="shared" si="10"/>
        <v>250000</v>
      </c>
      <c r="Q171" s="2">
        <v>200000</v>
      </c>
      <c r="R171" s="3">
        <v>50000</v>
      </c>
      <c r="S171" s="12"/>
      <c r="T171" s="26">
        <f t="shared" si="14"/>
        <v>0</v>
      </c>
      <c r="U171" s="26">
        <v>0</v>
      </c>
      <c r="V171" s="26"/>
      <c r="W171" s="22">
        <f t="shared" si="11"/>
        <v>0</v>
      </c>
      <c r="X171" s="11">
        <f t="shared" si="12"/>
        <v>2</v>
      </c>
    </row>
    <row r="172" spans="1:24" ht="18.75" x14ac:dyDescent="0.3">
      <c r="A172" s="1">
        <v>170</v>
      </c>
      <c r="B172" s="1" t="s">
        <v>168</v>
      </c>
      <c r="C172" s="12">
        <v>350000</v>
      </c>
      <c r="D172" s="12">
        <v>50000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f t="shared" si="10"/>
        <v>400000</v>
      </c>
      <c r="Q172" s="2">
        <v>300000</v>
      </c>
      <c r="R172" s="3">
        <v>50000</v>
      </c>
      <c r="S172" s="12">
        <v>50000</v>
      </c>
      <c r="T172" s="26">
        <f t="shared" si="14"/>
        <v>50000</v>
      </c>
      <c r="U172" s="26">
        <v>0</v>
      </c>
      <c r="V172" s="26"/>
      <c r="W172" s="22">
        <f t="shared" si="11"/>
        <v>0</v>
      </c>
      <c r="X172" s="11">
        <f t="shared" si="12"/>
        <v>3</v>
      </c>
    </row>
    <row r="173" spans="1:24" ht="18.75" x14ac:dyDescent="0.3">
      <c r="A173" s="1">
        <v>171</v>
      </c>
      <c r="B173" s="1" t="s">
        <v>169</v>
      </c>
      <c r="C173" s="12">
        <v>2550000</v>
      </c>
      <c r="D173" s="12">
        <v>50000</v>
      </c>
      <c r="E173" s="12">
        <v>50000</v>
      </c>
      <c r="F173" s="12">
        <v>50000</v>
      </c>
      <c r="G173" s="12">
        <v>50000</v>
      </c>
      <c r="H173" s="12">
        <v>50000</v>
      </c>
      <c r="I173" s="12">
        <v>50000</v>
      </c>
      <c r="J173" s="12"/>
      <c r="K173" s="12"/>
      <c r="L173" s="12"/>
      <c r="M173" s="12"/>
      <c r="N173" s="12"/>
      <c r="O173" s="12"/>
      <c r="P173" s="12">
        <f t="shared" si="10"/>
        <v>2850000</v>
      </c>
      <c r="Q173" s="2">
        <f>500000+2000000</f>
        <v>2500000</v>
      </c>
      <c r="R173" s="3">
        <v>50000</v>
      </c>
      <c r="S173" s="12">
        <v>300000</v>
      </c>
      <c r="T173" s="26">
        <f t="shared" si="14"/>
        <v>300000</v>
      </c>
      <c r="U173" s="26">
        <v>0</v>
      </c>
      <c r="V173" s="26"/>
      <c r="W173" s="22">
        <f t="shared" si="11"/>
        <v>0</v>
      </c>
      <c r="X173" s="11">
        <f t="shared" si="12"/>
        <v>25</v>
      </c>
    </row>
    <row r="174" spans="1:24" ht="18.75" x14ac:dyDescent="0.3">
      <c r="A174" s="1">
        <v>172</v>
      </c>
      <c r="B174" s="1" t="s">
        <v>170</v>
      </c>
      <c r="C174" s="12">
        <v>250000</v>
      </c>
      <c r="D174" s="12">
        <v>60000</v>
      </c>
      <c r="E174" s="12">
        <v>60000</v>
      </c>
      <c r="F174" s="12"/>
      <c r="G174" s="12"/>
      <c r="H174" s="12"/>
      <c r="I174" s="12">
        <v>150000</v>
      </c>
      <c r="J174" s="12"/>
      <c r="K174" s="12"/>
      <c r="L174" s="12"/>
      <c r="M174" s="12"/>
      <c r="N174" s="12"/>
      <c r="O174" s="12"/>
      <c r="P174" s="12">
        <f t="shared" si="10"/>
        <v>520000</v>
      </c>
      <c r="Q174" s="2">
        <f>100000+100000</f>
        <v>200000</v>
      </c>
      <c r="R174" s="3">
        <v>50000</v>
      </c>
      <c r="S174" s="12">
        <f>60000+60000+150000</f>
        <v>270000</v>
      </c>
      <c r="T174" s="26">
        <f t="shared" si="14"/>
        <v>250000</v>
      </c>
      <c r="U174" s="26">
        <v>20000</v>
      </c>
      <c r="V174" s="26"/>
      <c r="W174" s="22">
        <f t="shared" si="11"/>
        <v>0</v>
      </c>
      <c r="X174" s="11">
        <f t="shared" si="12"/>
        <v>2</v>
      </c>
    </row>
    <row r="175" spans="1:24" s="201" customFormat="1" ht="18.75" x14ac:dyDescent="0.3">
      <c r="A175" s="194">
        <v>173</v>
      </c>
      <c r="B175" s="194" t="s">
        <v>171</v>
      </c>
      <c r="C175" s="195">
        <v>450000</v>
      </c>
      <c r="D175" s="195"/>
      <c r="E175" s="195">
        <v>100000</v>
      </c>
      <c r="F175" s="195">
        <v>200000</v>
      </c>
      <c r="G175" s="195">
        <v>200000</v>
      </c>
      <c r="H175" s="195">
        <v>250000</v>
      </c>
      <c r="I175" s="195">
        <v>300000</v>
      </c>
      <c r="J175" s="195">
        <v>150000</v>
      </c>
      <c r="K175" s="195"/>
      <c r="L175" s="195"/>
      <c r="M175" s="195"/>
      <c r="N175" s="195"/>
      <c r="O175" s="195"/>
      <c r="P175" s="195">
        <f t="shared" si="10"/>
        <v>1650000</v>
      </c>
      <c r="Q175" s="196">
        <f>100000+100000+100000</f>
        <v>300000</v>
      </c>
      <c r="R175" s="197">
        <v>50000</v>
      </c>
      <c r="S175" s="195">
        <f>100000+100000+200000+200000+250000+300000+150000</f>
        <v>1300000</v>
      </c>
      <c r="T175" s="198">
        <f t="shared" si="14"/>
        <v>200000</v>
      </c>
      <c r="U175" s="198">
        <f>S175-200000</f>
        <v>1100000</v>
      </c>
      <c r="V175" s="198"/>
      <c r="W175" s="199">
        <f t="shared" si="11"/>
        <v>0</v>
      </c>
      <c r="X175" s="200">
        <f t="shared" si="12"/>
        <v>3</v>
      </c>
    </row>
    <row r="176" spans="1:24" ht="18.75" x14ac:dyDescent="0.3">
      <c r="A176" s="1">
        <v>174</v>
      </c>
      <c r="B176" s="1" t="s">
        <v>172</v>
      </c>
      <c r="C176" s="12">
        <v>250000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f t="shared" si="10"/>
        <v>250000</v>
      </c>
      <c r="Q176" s="2">
        <v>200000</v>
      </c>
      <c r="R176" s="3">
        <v>50000</v>
      </c>
      <c r="S176" s="12"/>
      <c r="T176" s="26">
        <f t="shared" si="14"/>
        <v>0</v>
      </c>
      <c r="U176" s="26">
        <v>0</v>
      </c>
      <c r="V176" s="26"/>
      <c r="W176" s="22">
        <f t="shared" si="11"/>
        <v>0</v>
      </c>
      <c r="X176" s="11">
        <f t="shared" si="12"/>
        <v>2</v>
      </c>
    </row>
    <row r="177" spans="1:24" ht="18.75" x14ac:dyDescent="0.3">
      <c r="A177" s="1">
        <v>175</v>
      </c>
      <c r="B177" s="1" t="s">
        <v>173</v>
      </c>
      <c r="C177" s="12">
        <v>27000000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f t="shared" si="10"/>
        <v>27000000</v>
      </c>
      <c r="Q177" s="2">
        <v>27000000</v>
      </c>
      <c r="R177" s="3">
        <v>0</v>
      </c>
      <c r="S177" s="12"/>
      <c r="T177" s="26">
        <f t="shared" si="14"/>
        <v>0</v>
      </c>
      <c r="U177" s="26">
        <v>0</v>
      </c>
      <c r="V177" s="26"/>
      <c r="W177" s="22">
        <f t="shared" si="11"/>
        <v>0</v>
      </c>
      <c r="X177" s="11">
        <f t="shared" si="12"/>
        <v>270</v>
      </c>
    </row>
    <row r="178" spans="1:24" ht="18.75" x14ac:dyDescent="0.3">
      <c r="A178" s="1">
        <v>176</v>
      </c>
      <c r="B178" s="1" t="s">
        <v>174</v>
      </c>
      <c r="C178" s="12">
        <v>550000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f t="shared" si="10"/>
        <v>550000</v>
      </c>
      <c r="Q178" s="2">
        <f>100000+400000</f>
        <v>500000</v>
      </c>
      <c r="R178" s="3">
        <v>50000</v>
      </c>
      <c r="S178" s="12"/>
      <c r="T178" s="26">
        <f t="shared" si="14"/>
        <v>0</v>
      </c>
      <c r="U178" s="26">
        <v>0</v>
      </c>
      <c r="V178" s="26"/>
      <c r="W178" s="22">
        <f t="shared" si="11"/>
        <v>0</v>
      </c>
      <c r="X178" s="11">
        <f t="shared" si="12"/>
        <v>5</v>
      </c>
    </row>
    <row r="179" spans="1:24" ht="18.75" x14ac:dyDescent="0.3">
      <c r="A179" s="1">
        <v>177</v>
      </c>
      <c r="B179" s="1" t="s">
        <v>175</v>
      </c>
      <c r="C179" s="12">
        <v>250000</v>
      </c>
      <c r="D179" s="12">
        <v>100000</v>
      </c>
      <c r="E179" s="12">
        <v>100000</v>
      </c>
      <c r="F179" s="12"/>
      <c r="G179" s="12">
        <v>120000</v>
      </c>
      <c r="H179" s="12"/>
      <c r="I179" s="12"/>
      <c r="J179" s="12"/>
      <c r="K179" s="12"/>
      <c r="L179" s="12"/>
      <c r="M179" s="12"/>
      <c r="N179" s="12"/>
      <c r="O179" s="12"/>
      <c r="P179" s="12">
        <f t="shared" si="10"/>
        <v>570000</v>
      </c>
      <c r="Q179" s="2">
        <f>100000+100000</f>
        <v>200000</v>
      </c>
      <c r="R179" s="3">
        <v>50000</v>
      </c>
      <c r="S179" s="12">
        <f>200000+120000</f>
        <v>320000</v>
      </c>
      <c r="T179" s="26">
        <f t="shared" si="14"/>
        <v>200000</v>
      </c>
      <c r="U179" s="26">
        <f>S179-200000</f>
        <v>120000</v>
      </c>
      <c r="V179" s="26"/>
      <c r="W179" s="22">
        <f t="shared" si="11"/>
        <v>0</v>
      </c>
      <c r="X179" s="11">
        <f t="shared" si="12"/>
        <v>2</v>
      </c>
    </row>
    <row r="180" spans="1:24" ht="18.75" x14ac:dyDescent="0.3">
      <c r="A180" s="1">
        <v>178</v>
      </c>
      <c r="B180" s="1" t="s">
        <v>176</v>
      </c>
      <c r="C180" s="12">
        <v>150000</v>
      </c>
      <c r="D180" s="12"/>
      <c r="E180" s="12"/>
      <c r="F180" s="12">
        <v>200000</v>
      </c>
      <c r="G180" s="12">
        <v>175000</v>
      </c>
      <c r="H180" s="12"/>
      <c r="I180" s="12"/>
      <c r="J180" s="12"/>
      <c r="K180" s="12"/>
      <c r="L180" s="12"/>
      <c r="M180" s="12"/>
      <c r="N180" s="12"/>
      <c r="O180" s="12"/>
      <c r="P180" s="12">
        <f t="shared" si="10"/>
        <v>525000</v>
      </c>
      <c r="Q180" s="2">
        <v>100000</v>
      </c>
      <c r="R180" s="3">
        <v>50000</v>
      </c>
      <c r="S180" s="12">
        <f>200000+175000</f>
        <v>375000</v>
      </c>
      <c r="T180" s="26">
        <f t="shared" si="14"/>
        <v>200000</v>
      </c>
      <c r="U180" s="26">
        <v>175000</v>
      </c>
      <c r="V180" s="26"/>
      <c r="W180" s="22">
        <f t="shared" si="11"/>
        <v>0</v>
      </c>
      <c r="X180" s="11">
        <f t="shared" si="12"/>
        <v>1</v>
      </c>
    </row>
    <row r="181" spans="1:24" ht="18.75" x14ac:dyDescent="0.3">
      <c r="A181" s="1">
        <v>179</v>
      </c>
      <c r="B181" s="1" t="s">
        <v>177</v>
      </c>
      <c r="C181" s="12">
        <v>200000</v>
      </c>
      <c r="D181" s="12"/>
      <c r="E181" s="12">
        <f>100000+150000</f>
        <v>250000</v>
      </c>
      <c r="F181" s="12"/>
      <c r="G181" s="12">
        <v>100000</v>
      </c>
      <c r="H181" s="12"/>
      <c r="I181" s="12">
        <v>50000</v>
      </c>
      <c r="J181" s="12"/>
      <c r="K181" s="12"/>
      <c r="L181" s="12"/>
      <c r="M181" s="12"/>
      <c r="N181" s="12"/>
      <c r="O181" s="12"/>
      <c r="P181" s="12">
        <f t="shared" si="10"/>
        <v>600000</v>
      </c>
      <c r="Q181" s="2">
        <v>100000</v>
      </c>
      <c r="R181" s="3">
        <v>50000</v>
      </c>
      <c r="S181" s="12">
        <f>50000+100000+150000+100000+50000</f>
        <v>450000</v>
      </c>
      <c r="T181" s="26">
        <f t="shared" si="14"/>
        <v>100000</v>
      </c>
      <c r="U181" s="26">
        <f>S181-100000</f>
        <v>350000</v>
      </c>
      <c r="V181" s="26"/>
      <c r="W181" s="22">
        <f t="shared" si="11"/>
        <v>0</v>
      </c>
      <c r="X181" s="11">
        <f t="shared" si="12"/>
        <v>1</v>
      </c>
    </row>
    <row r="182" spans="1:24" s="163" customFormat="1" ht="18.75" x14ac:dyDescent="0.3">
      <c r="A182" s="156">
        <v>180</v>
      </c>
      <c r="B182" s="156" t="s">
        <v>178</v>
      </c>
      <c r="C182" s="157">
        <v>300000</v>
      </c>
      <c r="D182" s="157"/>
      <c r="E182" s="157">
        <v>50000</v>
      </c>
      <c r="F182" s="157">
        <v>50000</v>
      </c>
      <c r="G182" s="157"/>
      <c r="H182" s="157">
        <v>100000</v>
      </c>
      <c r="I182" s="157"/>
      <c r="J182" s="157">
        <v>50000</v>
      </c>
      <c r="K182" s="157"/>
      <c r="L182" s="157"/>
      <c r="M182" s="157"/>
      <c r="N182" s="157"/>
      <c r="O182" s="157"/>
      <c r="P182" s="157">
        <f t="shared" si="10"/>
        <v>550000</v>
      </c>
      <c r="Q182" s="164">
        <f>100000+100000</f>
        <v>200000</v>
      </c>
      <c r="R182" s="159">
        <v>50000</v>
      </c>
      <c r="S182" s="157">
        <f>50000+50000+50000+100000+50000</f>
        <v>300000</v>
      </c>
      <c r="T182" s="160">
        <f t="shared" si="14"/>
        <v>250000</v>
      </c>
      <c r="U182" s="160">
        <f>S182-250000</f>
        <v>50000</v>
      </c>
      <c r="V182" s="160"/>
      <c r="W182" s="161">
        <f t="shared" si="11"/>
        <v>0</v>
      </c>
      <c r="X182" s="162">
        <f t="shared" si="12"/>
        <v>2</v>
      </c>
    </row>
    <row r="183" spans="1:24" ht="18.75" x14ac:dyDescent="0.3">
      <c r="A183" s="1">
        <v>181</v>
      </c>
      <c r="B183" s="1" t="s">
        <v>179</v>
      </c>
      <c r="C183" s="12">
        <v>150000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f t="shared" si="10"/>
        <v>150000</v>
      </c>
      <c r="Q183" s="2">
        <v>100000</v>
      </c>
      <c r="R183" s="3">
        <v>50000</v>
      </c>
      <c r="S183" s="12"/>
      <c r="T183" s="26">
        <f t="shared" si="14"/>
        <v>0</v>
      </c>
      <c r="U183" s="26">
        <v>0</v>
      </c>
      <c r="V183" s="26"/>
      <c r="W183" s="22">
        <f t="shared" si="11"/>
        <v>0</v>
      </c>
      <c r="X183" s="11">
        <f t="shared" si="12"/>
        <v>1</v>
      </c>
    </row>
    <row r="184" spans="1:24" ht="18.75" x14ac:dyDescent="0.3">
      <c r="A184" s="1">
        <v>182</v>
      </c>
      <c r="B184" s="1" t="s">
        <v>180</v>
      </c>
      <c r="C184" s="12">
        <v>150000</v>
      </c>
      <c r="D184" s="12">
        <v>100000</v>
      </c>
      <c r="E184" s="12"/>
      <c r="F184" s="12">
        <v>100000</v>
      </c>
      <c r="G184" s="12"/>
      <c r="H184" s="12">
        <v>100000</v>
      </c>
      <c r="I184" s="12"/>
      <c r="J184" s="12"/>
      <c r="K184" s="12"/>
      <c r="L184" s="12"/>
      <c r="M184" s="12"/>
      <c r="N184" s="12"/>
      <c r="O184" s="12"/>
      <c r="P184" s="12">
        <f t="shared" si="10"/>
        <v>450000</v>
      </c>
      <c r="Q184" s="2">
        <v>100000</v>
      </c>
      <c r="R184" s="3">
        <v>50000</v>
      </c>
      <c r="S184" s="12">
        <f>100000+100000+100000</f>
        <v>300000</v>
      </c>
      <c r="T184" s="26">
        <f t="shared" si="14"/>
        <v>250000</v>
      </c>
      <c r="U184" s="26">
        <v>50000</v>
      </c>
      <c r="V184" s="26"/>
      <c r="W184" s="22">
        <f t="shared" si="11"/>
        <v>0</v>
      </c>
      <c r="X184" s="11">
        <f t="shared" si="12"/>
        <v>1</v>
      </c>
    </row>
    <row r="185" spans="1:24" ht="18.75" x14ac:dyDescent="0.3">
      <c r="A185" s="1">
        <v>183</v>
      </c>
      <c r="B185" s="1" t="s">
        <v>181</v>
      </c>
      <c r="C185" s="12">
        <v>4500000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f t="shared" si="10"/>
        <v>4500000</v>
      </c>
      <c r="Q185" s="2">
        <v>4500000</v>
      </c>
      <c r="R185" s="3">
        <v>0</v>
      </c>
      <c r="S185" s="12"/>
      <c r="T185" s="26">
        <f t="shared" si="14"/>
        <v>0</v>
      </c>
      <c r="U185" s="26">
        <v>0</v>
      </c>
      <c r="V185" s="26"/>
      <c r="W185" s="22">
        <f t="shared" si="11"/>
        <v>0</v>
      </c>
      <c r="X185" s="11">
        <f t="shared" si="12"/>
        <v>45</v>
      </c>
    </row>
    <row r="186" spans="1:24" ht="18.75" x14ac:dyDescent="0.3">
      <c r="A186" s="1">
        <v>184</v>
      </c>
      <c r="B186" s="1" t="s">
        <v>182</v>
      </c>
      <c r="C186" s="12">
        <v>1147000</v>
      </c>
      <c r="D186" s="12"/>
      <c r="E186" s="12">
        <v>200000</v>
      </c>
      <c r="F186" s="12">
        <v>65000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f t="shared" si="10"/>
        <v>1412000</v>
      </c>
      <c r="Q186" s="2">
        <f>300000+300000+400000</f>
        <v>1000000</v>
      </c>
      <c r="R186" s="3">
        <v>50000</v>
      </c>
      <c r="S186" s="12">
        <f>97000+200000+65000</f>
        <v>362000</v>
      </c>
      <c r="T186" s="26">
        <f t="shared" si="14"/>
        <v>150000</v>
      </c>
      <c r="U186" s="26">
        <f>S186-150000</f>
        <v>212000</v>
      </c>
      <c r="V186" s="26"/>
      <c r="W186" s="22">
        <f t="shared" si="11"/>
        <v>0</v>
      </c>
      <c r="X186" s="11">
        <f t="shared" si="12"/>
        <v>10</v>
      </c>
    </row>
    <row r="187" spans="1:24" ht="18.75" x14ac:dyDescent="0.3">
      <c r="A187" s="1">
        <v>185</v>
      </c>
      <c r="B187" s="1" t="s">
        <v>183</v>
      </c>
      <c r="C187" s="12">
        <v>700000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f t="shared" si="10"/>
        <v>700000</v>
      </c>
      <c r="Q187" s="2">
        <v>600000</v>
      </c>
      <c r="R187" s="3">
        <v>50000</v>
      </c>
      <c r="S187" s="12">
        <v>50000</v>
      </c>
      <c r="T187" s="26">
        <f t="shared" si="14"/>
        <v>50000</v>
      </c>
      <c r="U187" s="26">
        <f>S187-50000</f>
        <v>0</v>
      </c>
      <c r="V187" s="26"/>
      <c r="W187" s="22">
        <f t="shared" si="11"/>
        <v>0</v>
      </c>
      <c r="X187" s="11">
        <f t="shared" si="12"/>
        <v>6</v>
      </c>
    </row>
    <row r="188" spans="1:24" ht="18.75" x14ac:dyDescent="0.3">
      <c r="A188" s="1">
        <v>186</v>
      </c>
      <c r="B188" s="1" t="s">
        <v>184</v>
      </c>
      <c r="C188" s="12">
        <v>150000</v>
      </c>
      <c r="D188" s="12"/>
      <c r="E188" s="12">
        <v>102000</v>
      </c>
      <c r="F188" s="12">
        <v>100000</v>
      </c>
      <c r="G188" s="12">
        <v>100000</v>
      </c>
      <c r="H188" s="12">
        <v>100000</v>
      </c>
      <c r="I188" s="12">
        <v>100000</v>
      </c>
      <c r="J188" s="12"/>
      <c r="K188" s="12"/>
      <c r="L188" s="12"/>
      <c r="M188" s="12"/>
      <c r="N188" s="12"/>
      <c r="O188" s="12"/>
      <c r="P188" s="12">
        <f t="shared" si="10"/>
        <v>652000</v>
      </c>
      <c r="Q188" s="2">
        <v>100000</v>
      </c>
      <c r="R188" s="3">
        <v>50000</v>
      </c>
      <c r="S188" s="12">
        <f>102000+100000+100000+100000+100000</f>
        <v>502000</v>
      </c>
      <c r="T188" s="26">
        <f t="shared" si="14"/>
        <v>400000</v>
      </c>
      <c r="U188" s="26">
        <v>102000</v>
      </c>
      <c r="V188" s="26"/>
      <c r="W188" s="22">
        <f t="shared" si="11"/>
        <v>0</v>
      </c>
      <c r="X188" s="11">
        <f t="shared" si="12"/>
        <v>1</v>
      </c>
    </row>
    <row r="189" spans="1:24" ht="18.75" x14ac:dyDescent="0.3">
      <c r="A189" s="1">
        <v>187</v>
      </c>
      <c r="B189" s="1" t="s">
        <v>185</v>
      </c>
      <c r="C189" s="12">
        <v>150000</v>
      </c>
      <c r="D189" s="12"/>
      <c r="E189" s="12"/>
      <c r="F189" s="12"/>
      <c r="G189" s="12"/>
      <c r="H189" s="12">
        <v>200000</v>
      </c>
      <c r="I189" s="12"/>
      <c r="J189" s="12"/>
      <c r="K189" s="12"/>
      <c r="L189" s="12"/>
      <c r="M189" s="12"/>
      <c r="N189" s="12"/>
      <c r="O189" s="12"/>
      <c r="P189" s="12">
        <f t="shared" si="10"/>
        <v>350000</v>
      </c>
      <c r="Q189" s="2">
        <v>100000</v>
      </c>
      <c r="R189" s="3">
        <v>50000</v>
      </c>
      <c r="S189" s="12">
        <v>200000</v>
      </c>
      <c r="T189" s="26">
        <f t="shared" si="14"/>
        <v>200000</v>
      </c>
      <c r="U189" s="26">
        <v>0</v>
      </c>
      <c r="V189" s="26"/>
      <c r="W189" s="22">
        <f t="shared" si="11"/>
        <v>0</v>
      </c>
      <c r="X189" s="11">
        <f t="shared" si="12"/>
        <v>1</v>
      </c>
    </row>
    <row r="190" spans="1:24" ht="18.75" x14ac:dyDescent="0.3">
      <c r="A190" s="1">
        <v>188</v>
      </c>
      <c r="B190" s="1" t="s">
        <v>186</v>
      </c>
      <c r="C190" s="12">
        <v>1050000</v>
      </c>
      <c r="D190" s="12">
        <v>150000</v>
      </c>
      <c r="E190" s="12">
        <v>150000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f t="shared" si="10"/>
        <v>1350000</v>
      </c>
      <c r="Q190" s="2">
        <v>1000000</v>
      </c>
      <c r="R190" s="3">
        <v>50000</v>
      </c>
      <c r="S190" s="12">
        <f>150000+150000</f>
        <v>300000</v>
      </c>
      <c r="T190" s="26">
        <f t="shared" si="14"/>
        <v>150000</v>
      </c>
      <c r="U190" s="26">
        <f>S190-150000</f>
        <v>150000</v>
      </c>
      <c r="V190" s="26"/>
      <c r="W190" s="22">
        <f t="shared" si="11"/>
        <v>0</v>
      </c>
      <c r="X190" s="11">
        <f t="shared" si="12"/>
        <v>10</v>
      </c>
    </row>
    <row r="191" spans="1:24" ht="18.75" x14ac:dyDescent="0.3">
      <c r="A191" s="1">
        <v>189</v>
      </c>
      <c r="B191" s="1" t="s">
        <v>187</v>
      </c>
      <c r="C191" s="12">
        <v>200000</v>
      </c>
      <c r="D191" s="12"/>
      <c r="E191" s="12"/>
      <c r="F191" s="12"/>
      <c r="G191" s="12">
        <v>50000</v>
      </c>
      <c r="H191" s="12">
        <v>100000</v>
      </c>
      <c r="I191" s="12"/>
      <c r="J191" s="12"/>
      <c r="K191" s="12"/>
      <c r="L191" s="12"/>
      <c r="M191" s="12"/>
      <c r="N191" s="12"/>
      <c r="O191" s="12"/>
      <c r="P191" s="12">
        <f t="shared" si="10"/>
        <v>350000</v>
      </c>
      <c r="Q191" s="2">
        <v>100000</v>
      </c>
      <c r="R191" s="3">
        <v>50000</v>
      </c>
      <c r="S191" s="12">
        <f>50000+50000+100000</f>
        <v>200000</v>
      </c>
      <c r="T191" s="26">
        <f t="shared" si="14"/>
        <v>200000</v>
      </c>
      <c r="U191" s="26"/>
      <c r="V191" s="26"/>
      <c r="W191" s="22">
        <f t="shared" si="11"/>
        <v>0</v>
      </c>
      <c r="X191" s="11">
        <f t="shared" si="12"/>
        <v>1</v>
      </c>
    </row>
    <row r="192" spans="1:24" ht="18.75" x14ac:dyDescent="0.3">
      <c r="A192" s="1">
        <v>190</v>
      </c>
      <c r="B192" s="1" t="s">
        <v>315</v>
      </c>
      <c r="C192" s="12">
        <v>150000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f t="shared" si="10"/>
        <v>150000</v>
      </c>
      <c r="Q192" s="2">
        <v>100000</v>
      </c>
      <c r="R192" s="3">
        <v>50000</v>
      </c>
      <c r="S192" s="12"/>
      <c r="T192" s="26">
        <f t="shared" si="14"/>
        <v>0</v>
      </c>
      <c r="U192" s="26">
        <v>0</v>
      </c>
      <c r="V192" s="26"/>
      <c r="W192" s="22">
        <f t="shared" si="11"/>
        <v>0</v>
      </c>
      <c r="X192" s="11">
        <f t="shared" si="12"/>
        <v>1</v>
      </c>
    </row>
    <row r="193" spans="1:24" ht="18.75" x14ac:dyDescent="0.3">
      <c r="A193" s="1">
        <v>191</v>
      </c>
      <c r="B193" s="1" t="s">
        <v>188</v>
      </c>
      <c r="C193" s="12">
        <v>1050000</v>
      </c>
      <c r="D193" s="12">
        <v>100000</v>
      </c>
      <c r="E193" s="12">
        <v>100000</v>
      </c>
      <c r="F193" s="12">
        <f>100000+50000+4000000+5000000</f>
        <v>9150000</v>
      </c>
      <c r="G193" s="12">
        <f>50000+100000</f>
        <v>150000</v>
      </c>
      <c r="H193" s="12">
        <v>100000</v>
      </c>
      <c r="I193" s="12"/>
      <c r="J193" s="12"/>
      <c r="K193" s="12"/>
      <c r="L193" s="12"/>
      <c r="M193" s="12"/>
      <c r="N193" s="12"/>
      <c r="O193" s="12"/>
      <c r="P193" s="12">
        <f t="shared" si="10"/>
        <v>10650000</v>
      </c>
      <c r="Q193" s="2">
        <f>500000+500000+4000000+5000000</f>
        <v>10000000</v>
      </c>
      <c r="R193" s="3">
        <v>50000</v>
      </c>
      <c r="S193" s="12">
        <f>350000+50000+100000+100000</f>
        <v>600000</v>
      </c>
      <c r="T193" s="26">
        <f t="shared" si="14"/>
        <v>300000</v>
      </c>
      <c r="U193" s="26">
        <v>300000</v>
      </c>
      <c r="V193" s="26"/>
      <c r="W193" s="22">
        <f t="shared" si="11"/>
        <v>0</v>
      </c>
      <c r="X193" s="11">
        <f t="shared" si="12"/>
        <v>100</v>
      </c>
    </row>
    <row r="194" spans="1:24" ht="18.75" x14ac:dyDescent="0.3">
      <c r="A194" s="1">
        <v>192</v>
      </c>
      <c r="B194" s="1" t="s">
        <v>189</v>
      </c>
      <c r="C194" s="12">
        <v>350000</v>
      </c>
      <c r="D194" s="12"/>
      <c r="E194" s="12">
        <v>100000</v>
      </c>
      <c r="F194" s="12">
        <v>50000</v>
      </c>
      <c r="G194" s="12">
        <v>50000</v>
      </c>
      <c r="H194" s="12">
        <v>100000</v>
      </c>
      <c r="I194" s="12"/>
      <c r="J194" s="12"/>
      <c r="K194" s="12"/>
      <c r="L194" s="12"/>
      <c r="M194" s="12"/>
      <c r="N194" s="12"/>
      <c r="O194" s="12"/>
      <c r="P194" s="12">
        <f t="shared" si="10"/>
        <v>650000</v>
      </c>
      <c r="Q194" s="2">
        <v>300000</v>
      </c>
      <c r="R194" s="3">
        <v>50000</v>
      </c>
      <c r="S194" s="12">
        <f>100000+50000+50000+100000</f>
        <v>300000</v>
      </c>
      <c r="T194" s="26">
        <f t="shared" si="14"/>
        <v>300000</v>
      </c>
      <c r="U194" s="26">
        <v>0</v>
      </c>
      <c r="V194" s="26"/>
      <c r="W194" s="22">
        <f t="shared" si="11"/>
        <v>0</v>
      </c>
      <c r="X194" s="11">
        <f t="shared" si="12"/>
        <v>3</v>
      </c>
    </row>
    <row r="195" spans="1:24" ht="18.75" x14ac:dyDescent="0.3">
      <c r="A195" s="1">
        <v>193</v>
      </c>
      <c r="B195" s="1" t="s">
        <v>190</v>
      </c>
      <c r="C195" s="12">
        <v>550000</v>
      </c>
      <c r="D195" s="12"/>
      <c r="E195" s="12"/>
      <c r="F195" s="12"/>
      <c r="G195" s="12">
        <v>200000</v>
      </c>
      <c r="H195" s="12"/>
      <c r="I195" s="12"/>
      <c r="J195" s="12"/>
      <c r="K195" s="12"/>
      <c r="L195" s="12"/>
      <c r="M195" s="12"/>
      <c r="N195" s="12"/>
      <c r="O195" s="12"/>
      <c r="P195" s="12">
        <f t="shared" ref="P195:P258" si="15">SUM(C195:O195)</f>
        <v>750000</v>
      </c>
      <c r="Q195" s="2">
        <f>200000+300000</f>
        <v>500000</v>
      </c>
      <c r="R195" s="3">
        <v>50000</v>
      </c>
      <c r="S195" s="12">
        <v>200000</v>
      </c>
      <c r="T195" s="26">
        <f t="shared" si="14"/>
        <v>200000</v>
      </c>
      <c r="U195" s="26">
        <v>0</v>
      </c>
      <c r="V195" s="26"/>
      <c r="W195" s="22">
        <f t="shared" ref="W195:W217" si="16">P195-(Q195+R195+S195)</f>
        <v>0</v>
      </c>
      <c r="X195" s="11">
        <f t="shared" ref="X195:X258" si="17">Q195/100000</f>
        <v>5</v>
      </c>
    </row>
    <row r="196" spans="1:24" ht="18.75" x14ac:dyDescent="0.3">
      <c r="A196" s="1">
        <v>194</v>
      </c>
      <c r="B196" s="1" t="s">
        <v>191</v>
      </c>
      <c r="C196" s="12">
        <v>250000</v>
      </c>
      <c r="D196" s="12"/>
      <c r="E196" s="12"/>
      <c r="F196" s="12"/>
      <c r="G196" s="12"/>
      <c r="H196" s="12">
        <v>200000</v>
      </c>
      <c r="I196" s="12"/>
      <c r="J196" s="12"/>
      <c r="K196" s="12"/>
      <c r="L196" s="12"/>
      <c r="M196" s="12"/>
      <c r="N196" s="12"/>
      <c r="O196" s="12"/>
      <c r="P196" s="12">
        <f t="shared" si="15"/>
        <v>450000</v>
      </c>
      <c r="Q196" s="2">
        <v>200000</v>
      </c>
      <c r="R196" s="3">
        <v>50000</v>
      </c>
      <c r="S196" s="12">
        <v>200000</v>
      </c>
      <c r="T196" s="26">
        <f t="shared" ref="T196:T227" si="18">S196-U196</f>
        <v>200000</v>
      </c>
      <c r="U196" s="26">
        <v>0</v>
      </c>
      <c r="V196" s="26"/>
      <c r="W196" s="22">
        <f t="shared" si="16"/>
        <v>0</v>
      </c>
      <c r="X196" s="11">
        <f t="shared" si="17"/>
        <v>2</v>
      </c>
    </row>
    <row r="197" spans="1:24" ht="18.75" x14ac:dyDescent="0.3">
      <c r="A197" s="1">
        <v>195</v>
      </c>
      <c r="B197" s="1" t="s">
        <v>192</v>
      </c>
      <c r="C197" s="12">
        <v>770000</v>
      </c>
      <c r="D197" s="12"/>
      <c r="E197" s="12">
        <v>800000</v>
      </c>
      <c r="F197" s="12">
        <v>600000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f t="shared" si="15"/>
        <v>2170000</v>
      </c>
      <c r="Q197" s="2">
        <f>100000+100000</f>
        <v>200000</v>
      </c>
      <c r="R197" s="3">
        <v>50000</v>
      </c>
      <c r="S197" s="12">
        <f>300000+220000+800000+600000</f>
        <v>1920000</v>
      </c>
      <c r="T197" s="26">
        <f t="shared" si="18"/>
        <v>150000</v>
      </c>
      <c r="U197" s="26">
        <f>S197-150000</f>
        <v>1770000</v>
      </c>
      <c r="V197" s="26"/>
      <c r="W197" s="22">
        <f t="shared" si="16"/>
        <v>0</v>
      </c>
      <c r="X197" s="11">
        <f t="shared" si="17"/>
        <v>2</v>
      </c>
    </row>
    <row r="198" spans="1:24" ht="18.75" x14ac:dyDescent="0.3">
      <c r="A198" s="1">
        <v>196</v>
      </c>
      <c r="B198" s="1" t="s">
        <v>193</v>
      </c>
      <c r="C198" s="12">
        <v>200000</v>
      </c>
      <c r="D198" s="12"/>
      <c r="E198" s="12"/>
      <c r="F198" s="12">
        <v>51000</v>
      </c>
      <c r="G198" s="12">
        <v>100000</v>
      </c>
      <c r="H198" s="12">
        <v>200000</v>
      </c>
      <c r="I198" s="12"/>
      <c r="J198" s="12"/>
      <c r="K198" s="12"/>
      <c r="L198" s="12"/>
      <c r="M198" s="12"/>
      <c r="N198" s="12"/>
      <c r="O198" s="12"/>
      <c r="P198" s="12">
        <f t="shared" si="15"/>
        <v>551000</v>
      </c>
      <c r="Q198" s="8">
        <v>100000</v>
      </c>
      <c r="R198" s="6">
        <v>50000</v>
      </c>
      <c r="S198" s="12">
        <f>50000+51000+100000+200000</f>
        <v>401000</v>
      </c>
      <c r="T198" s="26">
        <f t="shared" si="18"/>
        <v>200000</v>
      </c>
      <c r="U198" s="26">
        <f>S198-200000</f>
        <v>201000</v>
      </c>
      <c r="V198" s="26"/>
      <c r="W198" s="22">
        <f t="shared" si="16"/>
        <v>0</v>
      </c>
      <c r="X198" s="11">
        <f t="shared" si="17"/>
        <v>1</v>
      </c>
    </row>
    <row r="199" spans="1:24" ht="18.75" x14ac:dyDescent="0.3">
      <c r="A199" s="1">
        <v>197</v>
      </c>
      <c r="B199" s="1" t="s">
        <v>194</v>
      </c>
      <c r="C199" s="12">
        <v>250000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f t="shared" si="15"/>
        <v>250000</v>
      </c>
      <c r="Q199" s="2">
        <v>200000</v>
      </c>
      <c r="R199" s="3">
        <v>50000</v>
      </c>
      <c r="S199" s="12"/>
      <c r="T199" s="26">
        <f>S199-U199</f>
        <v>0</v>
      </c>
      <c r="U199" s="26">
        <v>0</v>
      </c>
      <c r="V199" s="26"/>
      <c r="W199" s="22">
        <f t="shared" si="16"/>
        <v>0</v>
      </c>
      <c r="X199" s="11">
        <f t="shared" si="17"/>
        <v>2</v>
      </c>
    </row>
    <row r="200" spans="1:24" ht="18.75" x14ac:dyDescent="0.3">
      <c r="A200" s="1">
        <v>198</v>
      </c>
      <c r="B200" s="1" t="s">
        <v>195</v>
      </c>
      <c r="C200" s="12">
        <v>150000</v>
      </c>
      <c r="D200" s="12"/>
      <c r="E200" s="12"/>
      <c r="F200" s="12"/>
      <c r="G200" s="12">
        <v>150000</v>
      </c>
      <c r="H200" s="12"/>
      <c r="I200" s="12"/>
      <c r="J200" s="12"/>
      <c r="K200" s="12"/>
      <c r="L200" s="12"/>
      <c r="M200" s="12"/>
      <c r="N200" s="12"/>
      <c r="O200" s="12"/>
      <c r="P200" s="12">
        <f t="shared" si="15"/>
        <v>300000</v>
      </c>
      <c r="Q200" s="2">
        <v>100000</v>
      </c>
      <c r="R200" s="3">
        <v>50000</v>
      </c>
      <c r="S200" s="12">
        <v>150000</v>
      </c>
      <c r="T200" s="26">
        <f t="shared" si="18"/>
        <v>150000</v>
      </c>
      <c r="U200" s="26">
        <v>0</v>
      </c>
      <c r="V200" s="26"/>
      <c r="W200" s="22">
        <f t="shared" si="16"/>
        <v>0</v>
      </c>
      <c r="X200" s="11">
        <f t="shared" si="17"/>
        <v>1</v>
      </c>
    </row>
    <row r="201" spans="1:24" ht="18.75" x14ac:dyDescent="0.3">
      <c r="A201" s="1">
        <v>199</v>
      </c>
      <c r="B201" s="1" t="s">
        <v>196</v>
      </c>
      <c r="C201" s="12">
        <v>150000</v>
      </c>
      <c r="D201" s="12"/>
      <c r="E201" s="12"/>
      <c r="F201" s="12">
        <v>700000</v>
      </c>
      <c r="G201" s="12"/>
      <c r="H201" s="12"/>
      <c r="I201" s="12">
        <v>50000</v>
      </c>
      <c r="J201" s="12"/>
      <c r="K201" s="12"/>
      <c r="L201" s="12"/>
      <c r="M201" s="12"/>
      <c r="N201" s="12"/>
      <c r="O201" s="12"/>
      <c r="P201" s="12">
        <f t="shared" si="15"/>
        <v>900000</v>
      </c>
      <c r="Q201" s="2">
        <v>100000</v>
      </c>
      <c r="R201" s="3">
        <v>50000</v>
      </c>
      <c r="S201" s="12">
        <f>700000+50000</f>
        <v>750000</v>
      </c>
      <c r="T201" s="26">
        <f t="shared" si="18"/>
        <v>250000</v>
      </c>
      <c r="U201" s="26">
        <v>500000</v>
      </c>
      <c r="V201" s="26"/>
      <c r="W201" s="22">
        <f t="shared" si="16"/>
        <v>0</v>
      </c>
      <c r="X201" s="11">
        <f t="shared" si="17"/>
        <v>1</v>
      </c>
    </row>
    <row r="202" spans="1:24" ht="18.75" x14ac:dyDescent="0.3">
      <c r="A202" s="1">
        <v>200</v>
      </c>
      <c r="B202" s="1" t="s">
        <v>197</v>
      </c>
      <c r="C202" s="12">
        <v>350000</v>
      </c>
      <c r="D202" s="12"/>
      <c r="E202" s="12">
        <v>51000</v>
      </c>
      <c r="F202" s="12">
        <v>50000</v>
      </c>
      <c r="G202" s="12">
        <v>100000</v>
      </c>
      <c r="H202" s="12"/>
      <c r="I202" s="12"/>
      <c r="J202" s="12"/>
      <c r="K202" s="12"/>
      <c r="L202" s="12"/>
      <c r="M202" s="12"/>
      <c r="N202" s="12"/>
      <c r="O202" s="12"/>
      <c r="P202" s="12">
        <f t="shared" si="15"/>
        <v>551000</v>
      </c>
      <c r="Q202" s="2">
        <f>100000+100000</f>
        <v>200000</v>
      </c>
      <c r="R202" s="3">
        <v>50000</v>
      </c>
      <c r="S202" s="12">
        <f>50000+50000+51000+50000+100000</f>
        <v>301000</v>
      </c>
      <c r="T202" s="26">
        <f t="shared" si="18"/>
        <v>200000</v>
      </c>
      <c r="U202" s="26">
        <f>S202-200000</f>
        <v>101000</v>
      </c>
      <c r="V202" s="26"/>
      <c r="W202" s="22">
        <f t="shared" si="16"/>
        <v>0</v>
      </c>
      <c r="X202" s="11">
        <f t="shared" si="17"/>
        <v>2</v>
      </c>
    </row>
    <row r="203" spans="1:24" ht="18.75" x14ac:dyDescent="0.3">
      <c r="A203" s="1">
        <v>201</v>
      </c>
      <c r="B203" s="1" t="s">
        <v>198</v>
      </c>
      <c r="C203" s="12">
        <v>450000</v>
      </c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f t="shared" si="15"/>
        <v>450000</v>
      </c>
      <c r="Q203" s="2">
        <v>300000</v>
      </c>
      <c r="R203" s="3">
        <v>50000</v>
      </c>
      <c r="S203" s="12">
        <v>100000</v>
      </c>
      <c r="T203" s="26">
        <f t="shared" si="18"/>
        <v>50000</v>
      </c>
      <c r="U203" s="26">
        <f>S203-50000</f>
        <v>50000</v>
      </c>
      <c r="V203" s="26"/>
      <c r="W203" s="22">
        <f t="shared" si="16"/>
        <v>0</v>
      </c>
      <c r="X203" s="11">
        <f t="shared" si="17"/>
        <v>3</v>
      </c>
    </row>
    <row r="204" spans="1:24" ht="18.75" x14ac:dyDescent="0.3">
      <c r="A204" s="1">
        <v>202</v>
      </c>
      <c r="B204" s="1" t="s">
        <v>199</v>
      </c>
      <c r="C204" s="12">
        <v>4950000</v>
      </c>
      <c r="D204" s="12"/>
      <c r="E204" s="12">
        <f>100000+1800000</f>
        <v>1900000</v>
      </c>
      <c r="F204" s="12">
        <f>2000000+500000</f>
        <v>2500000</v>
      </c>
      <c r="G204" s="12">
        <v>100000</v>
      </c>
      <c r="H204" s="12"/>
      <c r="I204" s="12">
        <v>300000</v>
      </c>
      <c r="J204" s="12"/>
      <c r="K204" s="12"/>
      <c r="L204" s="12"/>
      <c r="M204" s="12"/>
      <c r="N204" s="12"/>
      <c r="O204" s="12"/>
      <c r="P204" s="12">
        <f t="shared" si="15"/>
        <v>9750000</v>
      </c>
      <c r="Q204" s="2">
        <f>100000+500000+1200000+500000+1000000+500000+500000+500000+1800000+2000000+400000</f>
        <v>9000000</v>
      </c>
      <c r="R204" s="3">
        <v>50000</v>
      </c>
      <c r="S204" s="12">
        <f>100000+100000+100000+100000+300000</f>
        <v>700000</v>
      </c>
      <c r="T204" s="26">
        <f t="shared" si="18"/>
        <v>200000</v>
      </c>
      <c r="U204" s="26">
        <f>S204-200000</f>
        <v>500000</v>
      </c>
      <c r="V204" s="26"/>
      <c r="W204" s="22">
        <f t="shared" si="16"/>
        <v>0</v>
      </c>
      <c r="X204" s="11">
        <f t="shared" si="17"/>
        <v>90</v>
      </c>
    </row>
    <row r="205" spans="1:24" ht="18.75" x14ac:dyDescent="0.3">
      <c r="A205" s="1">
        <v>203</v>
      </c>
      <c r="B205" s="1" t="s">
        <v>200</v>
      </c>
      <c r="C205" s="12">
        <v>150000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f t="shared" si="15"/>
        <v>150000</v>
      </c>
      <c r="Q205" s="2">
        <v>100000</v>
      </c>
      <c r="R205" s="3">
        <v>50000</v>
      </c>
      <c r="S205" s="12"/>
      <c r="T205" s="26">
        <f t="shared" si="18"/>
        <v>0</v>
      </c>
      <c r="U205" s="26">
        <v>0</v>
      </c>
      <c r="V205" s="26"/>
      <c r="W205" s="22">
        <f t="shared" si="16"/>
        <v>0</v>
      </c>
      <c r="X205" s="11">
        <f t="shared" si="17"/>
        <v>1</v>
      </c>
    </row>
    <row r="206" spans="1:24" ht="18.75" x14ac:dyDescent="0.3">
      <c r="A206" s="1">
        <v>204</v>
      </c>
      <c r="B206" s="1" t="s">
        <v>201</v>
      </c>
      <c r="C206" s="12">
        <v>260000</v>
      </c>
      <c r="D206" s="12">
        <v>50000</v>
      </c>
      <c r="E206" s="12">
        <v>50000</v>
      </c>
      <c r="F206" s="12">
        <v>66500</v>
      </c>
      <c r="G206" s="12"/>
      <c r="H206" s="12">
        <v>50000</v>
      </c>
      <c r="I206" s="12"/>
      <c r="J206" s="12"/>
      <c r="K206" s="12"/>
      <c r="L206" s="12"/>
      <c r="M206" s="12"/>
      <c r="N206" s="12"/>
      <c r="O206" s="12"/>
      <c r="P206" s="12">
        <f t="shared" si="15"/>
        <v>476500</v>
      </c>
      <c r="Q206" s="2">
        <v>200000</v>
      </c>
      <c r="R206" s="3">
        <v>50000</v>
      </c>
      <c r="S206" s="12">
        <f>10000+166500+50000</f>
        <v>226500</v>
      </c>
      <c r="T206" s="26">
        <f t="shared" si="18"/>
        <v>200000</v>
      </c>
      <c r="U206" s="26">
        <v>26500</v>
      </c>
      <c r="V206" s="26"/>
      <c r="W206" s="22">
        <f t="shared" si="16"/>
        <v>0</v>
      </c>
      <c r="X206" s="11">
        <f t="shared" si="17"/>
        <v>2</v>
      </c>
    </row>
    <row r="207" spans="1:24" ht="18.75" x14ac:dyDescent="0.3">
      <c r="A207" s="1">
        <v>205</v>
      </c>
      <c r="B207" s="1" t="s">
        <v>202</v>
      </c>
      <c r="C207" s="12">
        <v>150000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f t="shared" si="15"/>
        <v>150000</v>
      </c>
      <c r="Q207" s="2">
        <v>100000</v>
      </c>
      <c r="R207" s="3">
        <v>50000</v>
      </c>
      <c r="S207" s="12"/>
      <c r="T207" s="26">
        <f t="shared" si="18"/>
        <v>0</v>
      </c>
      <c r="U207" s="26">
        <v>0</v>
      </c>
      <c r="V207" s="26"/>
      <c r="W207" s="22">
        <f t="shared" si="16"/>
        <v>0</v>
      </c>
      <c r="X207" s="11">
        <f t="shared" si="17"/>
        <v>1</v>
      </c>
    </row>
    <row r="208" spans="1:24" s="174" customFormat="1" ht="18.75" x14ac:dyDescent="0.3">
      <c r="A208" s="166">
        <v>206</v>
      </c>
      <c r="B208" s="166" t="s">
        <v>203</v>
      </c>
      <c r="C208" s="167">
        <v>1050000</v>
      </c>
      <c r="D208" s="167"/>
      <c r="E208" s="167"/>
      <c r="F208" s="167">
        <f>300000+300000-400000</f>
        <v>200000</v>
      </c>
      <c r="G208" s="167"/>
      <c r="H208" s="167"/>
      <c r="I208" s="167"/>
      <c r="J208" s="167"/>
      <c r="K208" s="167"/>
      <c r="L208" s="167"/>
      <c r="M208" s="167"/>
      <c r="N208" s="167"/>
      <c r="O208" s="167"/>
      <c r="P208" s="167">
        <f t="shared" si="15"/>
        <v>1250000</v>
      </c>
      <c r="Q208" s="168">
        <f>100000+200000+700000</f>
        <v>1000000</v>
      </c>
      <c r="R208" s="169">
        <v>50000</v>
      </c>
      <c r="S208" s="167">
        <f>300000+300000-400000</f>
        <v>200000</v>
      </c>
      <c r="T208" s="170">
        <f>S208-U208</f>
        <v>200000</v>
      </c>
      <c r="U208" s="170"/>
      <c r="V208" s="170">
        <v>400000</v>
      </c>
      <c r="W208" s="171">
        <f t="shared" si="16"/>
        <v>0</v>
      </c>
      <c r="X208" s="172">
        <f t="shared" si="17"/>
        <v>10</v>
      </c>
    </row>
    <row r="209" spans="1:24" ht="18.75" x14ac:dyDescent="0.3">
      <c r="A209" s="1">
        <v>207</v>
      </c>
      <c r="B209" s="1" t="s">
        <v>204</v>
      </c>
      <c r="C209" s="12">
        <v>150000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f t="shared" si="15"/>
        <v>150000</v>
      </c>
      <c r="Q209" s="6">
        <v>100000</v>
      </c>
      <c r="R209" s="6">
        <v>50000</v>
      </c>
      <c r="S209" s="12">
        <v>0</v>
      </c>
      <c r="T209" s="26">
        <f t="shared" si="18"/>
        <v>0</v>
      </c>
      <c r="U209" s="26">
        <v>0</v>
      </c>
      <c r="V209" s="26"/>
      <c r="W209" s="22">
        <f t="shared" si="16"/>
        <v>0</v>
      </c>
      <c r="X209" s="11">
        <f t="shared" si="17"/>
        <v>1</v>
      </c>
    </row>
    <row r="210" spans="1:24" ht="18.75" x14ac:dyDescent="0.3">
      <c r="A210" s="1">
        <v>208</v>
      </c>
      <c r="B210" s="1" t="s">
        <v>205</v>
      </c>
      <c r="C210" s="12">
        <v>150000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f t="shared" si="15"/>
        <v>150000</v>
      </c>
      <c r="Q210" s="2">
        <v>100000</v>
      </c>
      <c r="R210" s="3">
        <v>50000</v>
      </c>
      <c r="S210" s="12"/>
      <c r="T210" s="26">
        <f t="shared" si="18"/>
        <v>0</v>
      </c>
      <c r="U210" s="26">
        <v>0</v>
      </c>
      <c r="V210" s="26"/>
      <c r="W210" s="22">
        <f t="shared" si="16"/>
        <v>0</v>
      </c>
      <c r="X210" s="11">
        <f t="shared" si="17"/>
        <v>1</v>
      </c>
    </row>
    <row r="211" spans="1:24" ht="18.75" x14ac:dyDescent="0.3">
      <c r="A211" s="1">
        <v>209</v>
      </c>
      <c r="B211" s="1" t="s">
        <v>206</v>
      </c>
      <c r="C211" s="12">
        <v>6597000</v>
      </c>
      <c r="D211" s="12">
        <v>50000</v>
      </c>
      <c r="E211" s="12">
        <v>2502000</v>
      </c>
      <c r="F211" s="12"/>
      <c r="G211" s="12"/>
      <c r="H211" s="12">
        <v>300000</v>
      </c>
      <c r="I211" s="12">
        <v>70000</v>
      </c>
      <c r="J211" s="12"/>
      <c r="K211" s="12"/>
      <c r="L211" s="12"/>
      <c r="M211" s="12"/>
      <c r="N211" s="12"/>
      <c r="O211" s="12"/>
      <c r="P211" s="12">
        <f t="shared" si="15"/>
        <v>9519000</v>
      </c>
      <c r="Q211" s="2">
        <f>200000+4200000+2100000+2500000</f>
        <v>9000000</v>
      </c>
      <c r="R211" s="3">
        <v>50000</v>
      </c>
      <c r="S211" s="12">
        <f>77000-30000+2000+50000+300000+70000</f>
        <v>469000</v>
      </c>
      <c r="T211" s="26">
        <f t="shared" si="18"/>
        <v>420000</v>
      </c>
      <c r="U211" s="26">
        <v>49000</v>
      </c>
      <c r="V211" s="26"/>
      <c r="W211" s="22">
        <f t="shared" si="16"/>
        <v>0</v>
      </c>
      <c r="X211" s="11">
        <f t="shared" si="17"/>
        <v>90</v>
      </c>
    </row>
    <row r="212" spans="1:24" ht="18.75" x14ac:dyDescent="0.3">
      <c r="A212" s="1">
        <v>210</v>
      </c>
      <c r="B212" s="1" t="s">
        <v>207</v>
      </c>
      <c r="C212" s="12">
        <v>2050000</v>
      </c>
      <c r="D212" s="12">
        <v>50000</v>
      </c>
      <c r="E212" s="12">
        <v>50000</v>
      </c>
      <c r="F212" s="12">
        <v>50000</v>
      </c>
      <c r="G212" s="12">
        <v>50000</v>
      </c>
      <c r="H212" s="12">
        <v>50000</v>
      </c>
      <c r="I212" s="12">
        <v>50000</v>
      </c>
      <c r="J212" s="12"/>
      <c r="K212" s="12"/>
      <c r="L212" s="12"/>
      <c r="M212" s="12"/>
      <c r="N212" s="12"/>
      <c r="O212" s="12"/>
      <c r="P212" s="12">
        <f t="shared" si="15"/>
        <v>2350000</v>
      </c>
      <c r="Q212" s="2">
        <f>400000+600000+400000+600000</f>
        <v>2000000</v>
      </c>
      <c r="R212" s="3">
        <v>50000</v>
      </c>
      <c r="S212" s="12">
        <f>50000+50000+50000+50000+50000+50000</f>
        <v>300000</v>
      </c>
      <c r="T212" s="26">
        <f t="shared" si="18"/>
        <v>200000</v>
      </c>
      <c r="U212" s="26">
        <f>S212-200000</f>
        <v>100000</v>
      </c>
      <c r="V212" s="26"/>
      <c r="W212" s="22">
        <f t="shared" si="16"/>
        <v>0</v>
      </c>
      <c r="X212" s="11">
        <f t="shared" si="17"/>
        <v>20</v>
      </c>
    </row>
    <row r="213" spans="1:24" ht="18.75" x14ac:dyDescent="0.3">
      <c r="A213" s="1">
        <v>211</v>
      </c>
      <c r="B213" s="1" t="s">
        <v>77</v>
      </c>
      <c r="C213" s="12">
        <v>450000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f t="shared" si="15"/>
        <v>450000</v>
      </c>
      <c r="Q213" s="8">
        <v>400000</v>
      </c>
      <c r="R213" s="6">
        <v>50000</v>
      </c>
      <c r="S213" s="12"/>
      <c r="T213" s="26">
        <f t="shared" si="18"/>
        <v>0</v>
      </c>
      <c r="U213" s="26">
        <v>0</v>
      </c>
      <c r="V213" s="26"/>
      <c r="W213" s="22">
        <f t="shared" si="16"/>
        <v>0</v>
      </c>
      <c r="X213" s="11">
        <f t="shared" si="17"/>
        <v>4</v>
      </c>
    </row>
    <row r="214" spans="1:24" s="132" customFormat="1" ht="18.75" x14ac:dyDescent="0.3">
      <c r="A214" s="126">
        <v>212</v>
      </c>
      <c r="B214" s="126" t="s">
        <v>208</v>
      </c>
      <c r="C214" s="113">
        <v>450000</v>
      </c>
      <c r="D214" s="113"/>
      <c r="E214" s="113">
        <v>100000</v>
      </c>
      <c r="F214" s="113">
        <v>100000</v>
      </c>
      <c r="G214" s="113"/>
      <c r="H214" s="113">
        <v>200000</v>
      </c>
      <c r="I214" s="113"/>
      <c r="J214" s="113">
        <v>200000</v>
      </c>
      <c r="K214" s="113"/>
      <c r="L214" s="113"/>
      <c r="M214" s="113"/>
      <c r="N214" s="113"/>
      <c r="O214" s="113"/>
      <c r="P214" s="113">
        <f t="shared" si="15"/>
        <v>1050000</v>
      </c>
      <c r="Q214" s="127">
        <f>100000+200000</f>
        <v>300000</v>
      </c>
      <c r="R214" s="128">
        <v>50000</v>
      </c>
      <c r="S214" s="113">
        <f>100000+100000+100000+200000+200000</f>
        <v>700000</v>
      </c>
      <c r="T214" s="129">
        <f t="shared" si="18"/>
        <v>250000</v>
      </c>
      <c r="U214" s="129">
        <f>S214-250000</f>
        <v>450000</v>
      </c>
      <c r="V214" s="129"/>
      <c r="W214" s="130">
        <f t="shared" si="16"/>
        <v>0</v>
      </c>
      <c r="X214" s="131">
        <f t="shared" si="17"/>
        <v>3</v>
      </c>
    </row>
    <row r="215" spans="1:24" ht="18.75" x14ac:dyDescent="0.3">
      <c r="A215" s="1">
        <v>213</v>
      </c>
      <c r="B215" s="1" t="s">
        <v>209</v>
      </c>
      <c r="C215" s="12">
        <v>550000</v>
      </c>
      <c r="D215" s="12">
        <v>50000</v>
      </c>
      <c r="E215" s="12"/>
      <c r="F215" s="12"/>
      <c r="G215" s="12"/>
      <c r="H215" s="12">
        <f>100000+100000</f>
        <v>200000</v>
      </c>
      <c r="I215" s="12"/>
      <c r="J215" s="12"/>
      <c r="K215" s="12"/>
      <c r="L215" s="12"/>
      <c r="M215" s="12"/>
      <c r="N215" s="12"/>
      <c r="O215" s="12"/>
      <c r="P215" s="12">
        <f t="shared" si="15"/>
        <v>800000</v>
      </c>
      <c r="Q215" s="2">
        <v>500000</v>
      </c>
      <c r="R215" s="3">
        <v>50000</v>
      </c>
      <c r="S215" s="12">
        <f>50000+100000+100000</f>
        <v>250000</v>
      </c>
      <c r="T215" s="26">
        <f t="shared" si="18"/>
        <v>250000</v>
      </c>
      <c r="U215" s="26">
        <v>0</v>
      </c>
      <c r="V215" s="26"/>
      <c r="W215" s="22">
        <f t="shared" si="16"/>
        <v>0</v>
      </c>
      <c r="X215" s="11">
        <f t="shared" si="17"/>
        <v>5</v>
      </c>
    </row>
    <row r="216" spans="1:24" ht="18.75" x14ac:dyDescent="0.3">
      <c r="A216" s="1">
        <v>214</v>
      </c>
      <c r="B216" s="1" t="s">
        <v>210</v>
      </c>
      <c r="C216" s="12">
        <v>450000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f t="shared" si="15"/>
        <v>450000</v>
      </c>
      <c r="Q216" s="2">
        <v>400000</v>
      </c>
      <c r="R216" s="3">
        <v>50000</v>
      </c>
      <c r="S216" s="12"/>
      <c r="T216" s="26">
        <f t="shared" si="18"/>
        <v>0</v>
      </c>
      <c r="U216" s="26">
        <v>0</v>
      </c>
      <c r="V216" s="26"/>
      <c r="W216" s="22">
        <f t="shared" si="16"/>
        <v>0</v>
      </c>
      <c r="X216" s="11">
        <f t="shared" si="17"/>
        <v>4</v>
      </c>
    </row>
    <row r="217" spans="1:24" ht="18.75" x14ac:dyDescent="0.3">
      <c r="A217" s="1">
        <v>215</v>
      </c>
      <c r="B217" s="1" t="s">
        <v>211</v>
      </c>
      <c r="C217" s="12">
        <v>200000</v>
      </c>
      <c r="D217" s="12"/>
      <c r="E217" s="12">
        <v>100000</v>
      </c>
      <c r="F217" s="12"/>
      <c r="G217" s="12">
        <v>100000</v>
      </c>
      <c r="H217" s="12"/>
      <c r="I217" s="12">
        <v>100000</v>
      </c>
      <c r="J217" s="12">
        <v>100000</v>
      </c>
      <c r="K217" s="12"/>
      <c r="L217" s="12"/>
      <c r="M217" s="12"/>
      <c r="N217" s="12"/>
      <c r="O217" s="12"/>
      <c r="P217" s="12">
        <f t="shared" si="15"/>
        <v>600000</v>
      </c>
      <c r="Q217" s="2">
        <v>100000</v>
      </c>
      <c r="R217" s="3">
        <v>50000</v>
      </c>
      <c r="S217" s="12">
        <f>50000+100000+100000+100000+100000</f>
        <v>450000</v>
      </c>
      <c r="T217" s="26">
        <f t="shared" si="18"/>
        <v>200000</v>
      </c>
      <c r="U217" s="26">
        <f>S217-200000</f>
        <v>250000</v>
      </c>
      <c r="V217" s="26"/>
      <c r="W217" s="22">
        <f t="shared" si="16"/>
        <v>0</v>
      </c>
      <c r="X217" s="11">
        <f t="shared" si="17"/>
        <v>1</v>
      </c>
    </row>
    <row r="218" spans="1:24" ht="18.75" x14ac:dyDescent="0.3">
      <c r="A218" s="1">
        <v>216</v>
      </c>
      <c r="B218" s="1" t="s">
        <v>212</v>
      </c>
      <c r="C218" s="12">
        <v>250000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f t="shared" si="15"/>
        <v>250000</v>
      </c>
      <c r="Q218" s="2">
        <v>200000</v>
      </c>
      <c r="R218" s="3">
        <v>50000</v>
      </c>
      <c r="S218" s="12"/>
      <c r="T218" s="26">
        <f t="shared" si="18"/>
        <v>0</v>
      </c>
      <c r="U218" s="26">
        <v>0</v>
      </c>
      <c r="V218" s="26"/>
      <c r="W218" s="22">
        <f t="shared" ref="W218:W249" si="19">P218-(Q218+R218+S218)</f>
        <v>0</v>
      </c>
      <c r="X218" s="11">
        <f t="shared" si="17"/>
        <v>2</v>
      </c>
    </row>
    <row r="219" spans="1:24" ht="18.75" x14ac:dyDescent="0.3">
      <c r="A219" s="1">
        <v>217</v>
      </c>
      <c r="B219" s="1" t="s">
        <v>213</v>
      </c>
      <c r="C219" s="12">
        <v>350000</v>
      </c>
      <c r="D219" s="12"/>
      <c r="E219" s="12"/>
      <c r="F219" s="12">
        <v>100000</v>
      </c>
      <c r="G219" s="12">
        <v>100000</v>
      </c>
      <c r="H219" s="12"/>
      <c r="I219" s="12">
        <v>100000</v>
      </c>
      <c r="J219" s="12"/>
      <c r="K219" s="12"/>
      <c r="L219" s="12"/>
      <c r="M219" s="12"/>
      <c r="N219" s="12"/>
      <c r="O219" s="12"/>
      <c r="P219" s="12">
        <f>SUM(C219:O219)</f>
        <v>650000</v>
      </c>
      <c r="Q219" s="2">
        <f>100000</f>
        <v>100000</v>
      </c>
      <c r="R219" s="3">
        <v>50000</v>
      </c>
      <c r="S219" s="12">
        <f>200000+100000+100000+100000</f>
        <v>500000</v>
      </c>
      <c r="T219" s="26">
        <f t="shared" si="18"/>
        <v>200000</v>
      </c>
      <c r="U219" s="26">
        <f>S219-200000</f>
        <v>300000</v>
      </c>
      <c r="V219" s="26"/>
      <c r="W219" s="22">
        <f t="shared" si="19"/>
        <v>0</v>
      </c>
      <c r="X219" s="11">
        <f t="shared" si="17"/>
        <v>1</v>
      </c>
    </row>
    <row r="220" spans="1:24" ht="18.75" x14ac:dyDescent="0.3">
      <c r="A220" s="1">
        <v>218</v>
      </c>
      <c r="B220" s="1" t="s">
        <v>214</v>
      </c>
      <c r="C220" s="12">
        <v>250000</v>
      </c>
      <c r="D220" s="12"/>
      <c r="E220" s="12"/>
      <c r="F220" s="12"/>
      <c r="G220" s="12"/>
      <c r="H220" s="12">
        <v>98000</v>
      </c>
      <c r="I220" s="12"/>
      <c r="J220" s="12"/>
      <c r="K220" s="12"/>
      <c r="L220" s="12"/>
      <c r="M220" s="12"/>
      <c r="N220" s="12"/>
      <c r="O220" s="12"/>
      <c r="P220" s="12">
        <f t="shared" si="15"/>
        <v>348000</v>
      </c>
      <c r="Q220" s="2">
        <v>200000</v>
      </c>
      <c r="R220" s="3">
        <v>50000</v>
      </c>
      <c r="S220" s="12">
        <v>98000</v>
      </c>
      <c r="T220" s="26">
        <f t="shared" si="18"/>
        <v>98000</v>
      </c>
      <c r="U220" s="26">
        <v>0</v>
      </c>
      <c r="V220" s="26"/>
      <c r="W220" s="22">
        <f t="shared" si="19"/>
        <v>0</v>
      </c>
      <c r="X220" s="11">
        <f t="shared" si="17"/>
        <v>2</v>
      </c>
    </row>
    <row r="221" spans="1:24" ht="18.75" x14ac:dyDescent="0.3">
      <c r="A221" s="1">
        <v>219</v>
      </c>
      <c r="B221" s="1" t="s">
        <v>215</v>
      </c>
      <c r="C221" s="12">
        <v>150000</v>
      </c>
      <c r="D221" s="12"/>
      <c r="E221" s="12">
        <v>150000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f t="shared" si="15"/>
        <v>300000</v>
      </c>
      <c r="Q221" s="2">
        <v>100000</v>
      </c>
      <c r="R221" s="3">
        <v>50000</v>
      </c>
      <c r="S221" s="12">
        <v>150000</v>
      </c>
      <c r="T221" s="26">
        <f t="shared" si="18"/>
        <v>100000</v>
      </c>
      <c r="U221" s="26">
        <v>50000</v>
      </c>
      <c r="V221" s="26"/>
      <c r="W221" s="22">
        <f t="shared" si="19"/>
        <v>0</v>
      </c>
      <c r="X221" s="11">
        <f t="shared" si="17"/>
        <v>1</v>
      </c>
    </row>
    <row r="222" spans="1:24" ht="18.75" x14ac:dyDescent="0.3">
      <c r="A222" s="1">
        <v>220</v>
      </c>
      <c r="B222" s="1" t="s">
        <v>216</v>
      </c>
      <c r="C222" s="12">
        <v>520000</v>
      </c>
      <c r="D222" s="12"/>
      <c r="E222" s="12"/>
      <c r="F222" s="12">
        <v>100000</v>
      </c>
      <c r="G222" s="12"/>
      <c r="H222" s="12">
        <v>110000</v>
      </c>
      <c r="I222" s="12">
        <v>400000</v>
      </c>
      <c r="J222" s="12"/>
      <c r="K222" s="12"/>
      <c r="L222" s="12"/>
      <c r="M222" s="12"/>
      <c r="N222" s="12"/>
      <c r="O222" s="12"/>
      <c r="P222" s="12">
        <f t="shared" si="15"/>
        <v>1130000</v>
      </c>
      <c r="Q222" s="2">
        <f>200000+100000+100000</f>
        <v>400000</v>
      </c>
      <c r="R222" s="3">
        <v>50000</v>
      </c>
      <c r="S222" s="12">
        <f>70000+100000+110000+400000</f>
        <v>680000</v>
      </c>
      <c r="T222" s="26">
        <f t="shared" si="18"/>
        <v>250000</v>
      </c>
      <c r="U222" s="26">
        <f>S222-250000</f>
        <v>430000</v>
      </c>
      <c r="V222" s="26"/>
      <c r="W222" s="22">
        <f t="shared" si="19"/>
        <v>0</v>
      </c>
      <c r="X222" s="11">
        <f t="shared" si="17"/>
        <v>4</v>
      </c>
    </row>
    <row r="223" spans="1:24" ht="18.75" x14ac:dyDescent="0.3">
      <c r="A223" s="1">
        <v>221</v>
      </c>
      <c r="B223" s="1" t="s">
        <v>217</v>
      </c>
      <c r="C223" s="12">
        <v>4600000</v>
      </c>
      <c r="D223" s="12"/>
      <c r="E223" s="12">
        <v>2000000</v>
      </c>
      <c r="F223" s="12">
        <v>2500000</v>
      </c>
      <c r="G223" s="12"/>
      <c r="H223" s="12"/>
      <c r="I223" s="12">
        <v>550000</v>
      </c>
      <c r="J223" s="12"/>
      <c r="K223" s="12"/>
      <c r="L223" s="12"/>
      <c r="M223" s="12"/>
      <c r="N223" s="12"/>
      <c r="O223" s="12"/>
      <c r="P223" s="12">
        <f t="shared" si="15"/>
        <v>9650000</v>
      </c>
      <c r="Q223" s="2">
        <f>4500000+2000000+2500000</f>
        <v>9000000</v>
      </c>
      <c r="R223" s="3">
        <v>50000</v>
      </c>
      <c r="S223" s="12">
        <f>50000+550000</f>
        <v>600000</v>
      </c>
      <c r="T223" s="26">
        <f t="shared" si="18"/>
        <v>50000</v>
      </c>
      <c r="U223" s="26">
        <f>S223-50000</f>
        <v>550000</v>
      </c>
      <c r="V223" s="26"/>
      <c r="W223" s="22">
        <f t="shared" si="19"/>
        <v>0</v>
      </c>
      <c r="X223" s="11">
        <f t="shared" si="17"/>
        <v>90</v>
      </c>
    </row>
    <row r="224" spans="1:24" ht="18.75" x14ac:dyDescent="0.3">
      <c r="A224" s="1">
        <v>222</v>
      </c>
      <c r="B224" s="1" t="s">
        <v>218</v>
      </c>
      <c r="C224" s="12">
        <v>4550000</v>
      </c>
      <c r="D224" s="12"/>
      <c r="E224" s="12"/>
      <c r="F224" s="12"/>
      <c r="G224" s="12">
        <v>300000</v>
      </c>
      <c r="H224" s="12"/>
      <c r="I224" s="12"/>
      <c r="J224" s="12"/>
      <c r="K224" s="12"/>
      <c r="L224" s="12"/>
      <c r="M224" s="12"/>
      <c r="N224" s="12"/>
      <c r="O224" s="12"/>
      <c r="P224" s="12">
        <f t="shared" si="15"/>
        <v>4850000</v>
      </c>
      <c r="Q224" s="8">
        <v>4500000</v>
      </c>
      <c r="R224" s="3">
        <v>50000</v>
      </c>
      <c r="S224" s="12">
        <v>300000</v>
      </c>
      <c r="T224" s="26">
        <f t="shared" si="18"/>
        <v>300000</v>
      </c>
      <c r="U224" s="26">
        <v>0</v>
      </c>
      <c r="V224" s="26"/>
      <c r="W224" s="22">
        <f t="shared" si="19"/>
        <v>0</v>
      </c>
      <c r="X224" s="11">
        <f t="shared" si="17"/>
        <v>45</v>
      </c>
    </row>
    <row r="225" spans="1:24" ht="18.75" x14ac:dyDescent="0.3">
      <c r="A225" s="1">
        <v>223</v>
      </c>
      <c r="B225" s="1" t="s">
        <v>219</v>
      </c>
      <c r="C225" s="12">
        <v>250000</v>
      </c>
      <c r="D225" s="12"/>
      <c r="E225" s="12"/>
      <c r="F225" s="12"/>
      <c r="G225" s="12"/>
      <c r="H225" s="12"/>
      <c r="I225" s="12">
        <v>100000</v>
      </c>
      <c r="J225" s="12"/>
      <c r="K225" s="12"/>
      <c r="L225" s="12"/>
      <c r="M225" s="12"/>
      <c r="N225" s="12"/>
      <c r="O225" s="12"/>
      <c r="P225" s="12">
        <f t="shared" si="15"/>
        <v>350000</v>
      </c>
      <c r="Q225" s="2">
        <f>100000+100000</f>
        <v>200000</v>
      </c>
      <c r="R225" s="3">
        <v>50000</v>
      </c>
      <c r="S225" s="12">
        <v>100000</v>
      </c>
      <c r="T225" s="26">
        <f t="shared" si="18"/>
        <v>100000</v>
      </c>
      <c r="U225" s="26">
        <v>0</v>
      </c>
      <c r="V225" s="26"/>
      <c r="W225" s="22">
        <f t="shared" si="19"/>
        <v>0</v>
      </c>
      <c r="X225" s="11">
        <f t="shared" si="17"/>
        <v>2</v>
      </c>
    </row>
    <row r="226" spans="1:24" ht="18.75" x14ac:dyDescent="0.3">
      <c r="A226" s="1">
        <v>224</v>
      </c>
      <c r="B226" s="1" t="s">
        <v>220</v>
      </c>
      <c r="C226" s="12">
        <v>150000</v>
      </c>
      <c r="D226" s="12"/>
      <c r="E226" s="12"/>
      <c r="F226" s="12">
        <v>150000</v>
      </c>
      <c r="G226" s="12"/>
      <c r="H226" s="12"/>
      <c r="I226" s="12">
        <v>150000</v>
      </c>
      <c r="J226" s="12"/>
      <c r="K226" s="12"/>
      <c r="L226" s="12"/>
      <c r="M226" s="12"/>
      <c r="N226" s="12"/>
      <c r="O226" s="12"/>
      <c r="P226" s="12">
        <f t="shared" si="15"/>
        <v>450000</v>
      </c>
      <c r="Q226" s="2">
        <v>100000</v>
      </c>
      <c r="R226" s="3">
        <v>50000</v>
      </c>
      <c r="S226" s="12">
        <f>150000+150000</f>
        <v>300000</v>
      </c>
      <c r="T226" s="26">
        <f t="shared" si="18"/>
        <v>300000</v>
      </c>
      <c r="U226" s="26">
        <v>0</v>
      </c>
      <c r="V226" s="26"/>
      <c r="W226" s="22">
        <f t="shared" si="19"/>
        <v>0</v>
      </c>
      <c r="X226" s="11">
        <f t="shared" si="17"/>
        <v>1</v>
      </c>
    </row>
    <row r="227" spans="1:24" ht="18.75" x14ac:dyDescent="0.3">
      <c r="A227" s="1">
        <v>225</v>
      </c>
      <c r="B227" s="1" t="s">
        <v>221</v>
      </c>
      <c r="C227" s="12">
        <v>200000</v>
      </c>
      <c r="D227" s="12"/>
      <c r="E227" s="12">
        <v>50000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f t="shared" si="15"/>
        <v>250000</v>
      </c>
      <c r="Q227" s="2">
        <v>100000</v>
      </c>
      <c r="R227" s="3">
        <v>50000</v>
      </c>
      <c r="S227" s="12">
        <f>50000+50000</f>
        <v>100000</v>
      </c>
      <c r="T227" s="26">
        <f t="shared" si="18"/>
        <v>100000</v>
      </c>
      <c r="U227" s="26">
        <f>S227-100000</f>
        <v>0</v>
      </c>
      <c r="V227" s="26"/>
      <c r="W227" s="22">
        <f t="shared" si="19"/>
        <v>0</v>
      </c>
      <c r="X227" s="11">
        <f t="shared" si="17"/>
        <v>1</v>
      </c>
    </row>
    <row r="228" spans="1:24" ht="18.75" x14ac:dyDescent="0.3">
      <c r="A228" s="1">
        <v>226</v>
      </c>
      <c r="B228" s="1" t="s">
        <v>316</v>
      </c>
      <c r="C228" s="12">
        <v>350000</v>
      </c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f t="shared" si="15"/>
        <v>350000</v>
      </c>
      <c r="Q228" s="2">
        <v>300000</v>
      </c>
      <c r="R228" s="3">
        <v>50000</v>
      </c>
      <c r="S228" s="12"/>
      <c r="T228" s="26">
        <f t="shared" ref="T228:T259" si="20">S228-U228</f>
        <v>0</v>
      </c>
      <c r="U228" s="26">
        <v>0</v>
      </c>
      <c r="V228" s="26"/>
      <c r="W228" s="22">
        <f t="shared" si="19"/>
        <v>0</v>
      </c>
      <c r="X228" s="11">
        <f t="shared" si="17"/>
        <v>3</v>
      </c>
    </row>
    <row r="229" spans="1:24" ht="18.75" x14ac:dyDescent="0.3">
      <c r="A229" s="1">
        <v>227</v>
      </c>
      <c r="B229" s="1" t="s">
        <v>222</v>
      </c>
      <c r="C229" s="12">
        <v>600000</v>
      </c>
      <c r="D229" s="12"/>
      <c r="E229" s="12"/>
      <c r="F229" s="12">
        <v>100000</v>
      </c>
      <c r="G229" s="12">
        <v>50000</v>
      </c>
      <c r="H229" s="12"/>
      <c r="I229" s="12"/>
      <c r="J229" s="12"/>
      <c r="K229" s="12"/>
      <c r="L229" s="12"/>
      <c r="M229" s="12"/>
      <c r="N229" s="12"/>
      <c r="O229" s="12"/>
      <c r="P229" s="12">
        <f t="shared" si="15"/>
        <v>750000</v>
      </c>
      <c r="Q229" s="2">
        <v>500000</v>
      </c>
      <c r="R229" s="3">
        <v>50000</v>
      </c>
      <c r="S229" s="12">
        <f>50000+100000+50000</f>
        <v>200000</v>
      </c>
      <c r="T229" s="26">
        <f t="shared" si="20"/>
        <v>200000</v>
      </c>
      <c r="U229" s="26">
        <f>S229-200000</f>
        <v>0</v>
      </c>
      <c r="V229" s="26"/>
      <c r="W229" s="22">
        <f t="shared" si="19"/>
        <v>0</v>
      </c>
      <c r="X229" s="11">
        <f t="shared" si="17"/>
        <v>5</v>
      </c>
    </row>
    <row r="230" spans="1:24" ht="18.75" x14ac:dyDescent="0.3">
      <c r="A230" s="1">
        <v>228</v>
      </c>
      <c r="B230" s="1" t="s">
        <v>224</v>
      </c>
      <c r="C230" s="12">
        <v>230000</v>
      </c>
      <c r="D230" s="12"/>
      <c r="E230" s="12"/>
      <c r="F230" s="12">
        <v>100000</v>
      </c>
      <c r="G230" s="12">
        <v>200000</v>
      </c>
      <c r="H230" s="12">
        <v>200000</v>
      </c>
      <c r="I230" s="12"/>
      <c r="J230" s="12"/>
      <c r="K230" s="12"/>
      <c r="L230" s="12"/>
      <c r="M230" s="12"/>
      <c r="N230" s="12"/>
      <c r="O230" s="12"/>
      <c r="P230" s="12">
        <f t="shared" si="15"/>
        <v>730000</v>
      </c>
      <c r="Q230" s="2">
        <v>100000</v>
      </c>
      <c r="R230" s="3">
        <v>50000</v>
      </c>
      <c r="S230" s="12">
        <f>80000+100000+200000+200000</f>
        <v>580000</v>
      </c>
      <c r="T230" s="26">
        <f t="shared" si="20"/>
        <v>250000</v>
      </c>
      <c r="U230" s="26">
        <f>S230-250000</f>
        <v>330000</v>
      </c>
      <c r="V230" s="26"/>
      <c r="W230" s="22">
        <f t="shared" si="19"/>
        <v>0</v>
      </c>
      <c r="X230" s="11">
        <f t="shared" si="17"/>
        <v>1</v>
      </c>
    </row>
    <row r="231" spans="1:24" ht="18.75" x14ac:dyDescent="0.3">
      <c r="A231" s="1">
        <v>229</v>
      </c>
      <c r="B231" s="1" t="s">
        <v>223</v>
      </c>
      <c r="C231" s="12">
        <v>300000</v>
      </c>
      <c r="D231" s="12"/>
      <c r="E231" s="12"/>
      <c r="F231" s="12"/>
      <c r="G231" s="12">
        <v>200000</v>
      </c>
      <c r="H231" s="12"/>
      <c r="I231" s="12">
        <f>3100000-3000000+5000</f>
        <v>105000</v>
      </c>
      <c r="J231" s="12"/>
      <c r="K231" s="12"/>
      <c r="L231" s="12"/>
      <c r="M231" s="12"/>
      <c r="N231" s="12"/>
      <c r="O231" s="12"/>
      <c r="P231" s="12">
        <f t="shared" si="15"/>
        <v>605000</v>
      </c>
      <c r="Q231" s="2">
        <f>100000+100000</f>
        <v>200000</v>
      </c>
      <c r="R231" s="3">
        <v>50000</v>
      </c>
      <c r="S231" s="12">
        <f>50000+200000+3100000-3000000+5000</f>
        <v>355000</v>
      </c>
      <c r="T231" s="26">
        <f t="shared" si="20"/>
        <v>200000</v>
      </c>
      <c r="U231" s="26">
        <f>S231-200000</f>
        <v>155000</v>
      </c>
      <c r="V231" s="26">
        <v>3000000</v>
      </c>
      <c r="W231" s="22">
        <f t="shared" si="19"/>
        <v>0</v>
      </c>
      <c r="X231" s="11">
        <f t="shared" si="17"/>
        <v>2</v>
      </c>
    </row>
    <row r="232" spans="1:24" ht="18.75" x14ac:dyDescent="0.3">
      <c r="A232" s="1">
        <v>230</v>
      </c>
      <c r="B232" s="1" t="s">
        <v>225</v>
      </c>
      <c r="C232" s="12">
        <v>150000</v>
      </c>
      <c r="D232" s="12"/>
      <c r="E232" s="12">
        <v>52000</v>
      </c>
      <c r="F232" s="12">
        <v>100000</v>
      </c>
      <c r="G232" s="12">
        <v>100000</v>
      </c>
      <c r="H232" s="12">
        <v>100000</v>
      </c>
      <c r="I232" s="12">
        <v>100000</v>
      </c>
      <c r="J232" s="12"/>
      <c r="K232" s="12"/>
      <c r="L232" s="12"/>
      <c r="M232" s="12"/>
      <c r="N232" s="12"/>
      <c r="O232" s="12"/>
      <c r="P232" s="12">
        <f t="shared" si="15"/>
        <v>602000</v>
      </c>
      <c r="Q232" s="2">
        <v>100000</v>
      </c>
      <c r="R232" s="3">
        <v>50000</v>
      </c>
      <c r="S232" s="12">
        <f>52000+100000+100000+100000+100000</f>
        <v>452000</v>
      </c>
      <c r="T232" s="26">
        <f t="shared" si="20"/>
        <v>400000</v>
      </c>
      <c r="U232" s="26">
        <v>52000</v>
      </c>
      <c r="V232" s="26"/>
      <c r="W232" s="22">
        <f t="shared" si="19"/>
        <v>0</v>
      </c>
      <c r="X232" s="11">
        <f t="shared" si="17"/>
        <v>1</v>
      </c>
    </row>
    <row r="233" spans="1:24" ht="18.75" x14ac:dyDescent="0.3">
      <c r="A233" s="1">
        <v>231</v>
      </c>
      <c r="B233" s="1" t="s">
        <v>226</v>
      </c>
      <c r="C233" s="12">
        <v>150000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f t="shared" si="15"/>
        <v>150000</v>
      </c>
      <c r="Q233" s="2">
        <v>100000</v>
      </c>
      <c r="R233" s="3">
        <v>50000</v>
      </c>
      <c r="S233" s="12"/>
      <c r="T233" s="26">
        <f t="shared" si="20"/>
        <v>0</v>
      </c>
      <c r="U233" s="26">
        <v>0</v>
      </c>
      <c r="V233" s="26"/>
      <c r="W233" s="22">
        <f t="shared" si="19"/>
        <v>0</v>
      </c>
      <c r="X233" s="11">
        <f t="shared" si="17"/>
        <v>1</v>
      </c>
    </row>
    <row r="234" spans="1:24" ht="18.75" x14ac:dyDescent="0.3">
      <c r="A234" s="1">
        <v>232</v>
      </c>
      <c r="B234" s="1" t="s">
        <v>227</v>
      </c>
      <c r="C234" s="12">
        <v>350000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f t="shared" si="15"/>
        <v>350000</v>
      </c>
      <c r="Q234" s="2">
        <v>300000</v>
      </c>
      <c r="R234" s="3">
        <v>50000</v>
      </c>
      <c r="S234" s="12"/>
      <c r="T234" s="26">
        <f t="shared" si="20"/>
        <v>0</v>
      </c>
      <c r="U234" s="26">
        <v>0</v>
      </c>
      <c r="V234" s="26"/>
      <c r="W234" s="22">
        <f t="shared" si="19"/>
        <v>0</v>
      </c>
      <c r="X234" s="11">
        <f t="shared" si="17"/>
        <v>3</v>
      </c>
    </row>
    <row r="235" spans="1:24" ht="18.75" x14ac:dyDescent="0.3">
      <c r="A235" s="1">
        <v>233</v>
      </c>
      <c r="B235" s="1" t="s">
        <v>228</v>
      </c>
      <c r="C235" s="12">
        <v>350000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f t="shared" si="15"/>
        <v>350000</v>
      </c>
      <c r="Q235" s="2">
        <v>300000</v>
      </c>
      <c r="R235" s="3">
        <v>50000</v>
      </c>
      <c r="S235" s="12"/>
      <c r="T235" s="26">
        <f t="shared" si="20"/>
        <v>0</v>
      </c>
      <c r="U235" s="26">
        <v>0</v>
      </c>
      <c r="V235" s="26"/>
      <c r="W235" s="22">
        <f t="shared" si="19"/>
        <v>0</v>
      </c>
      <c r="X235" s="11">
        <f t="shared" si="17"/>
        <v>3</v>
      </c>
    </row>
    <row r="236" spans="1:24" ht="18.75" x14ac:dyDescent="0.3">
      <c r="A236" s="1">
        <v>234</v>
      </c>
      <c r="B236" s="1" t="s">
        <v>229</v>
      </c>
      <c r="C236" s="12">
        <v>250000</v>
      </c>
      <c r="D236" s="12"/>
      <c r="E236" s="12"/>
      <c r="F236" s="12"/>
      <c r="G236" s="12">
        <v>200000</v>
      </c>
      <c r="H236" s="12"/>
      <c r="I236" s="12"/>
      <c r="J236" s="12"/>
      <c r="K236" s="12"/>
      <c r="L236" s="12"/>
      <c r="M236" s="12"/>
      <c r="N236" s="12"/>
      <c r="O236" s="12"/>
      <c r="P236" s="12">
        <f t="shared" si="15"/>
        <v>450000</v>
      </c>
      <c r="Q236" s="2">
        <v>200000</v>
      </c>
      <c r="R236" s="3">
        <v>50000</v>
      </c>
      <c r="S236" s="12">
        <v>200000</v>
      </c>
      <c r="T236" s="26">
        <f t="shared" si="20"/>
        <v>200000</v>
      </c>
      <c r="U236" s="26">
        <v>0</v>
      </c>
      <c r="V236" s="26"/>
      <c r="W236" s="22">
        <f t="shared" si="19"/>
        <v>0</v>
      </c>
      <c r="X236" s="11">
        <f t="shared" si="17"/>
        <v>2</v>
      </c>
    </row>
    <row r="237" spans="1:24" s="132" customFormat="1" ht="18.75" x14ac:dyDescent="0.3">
      <c r="A237" s="126">
        <v>235</v>
      </c>
      <c r="B237" s="126" t="s">
        <v>230</v>
      </c>
      <c r="C237" s="113">
        <v>150000</v>
      </c>
      <c r="D237" s="113"/>
      <c r="E237" s="113"/>
      <c r="F237" s="113"/>
      <c r="G237" s="113">
        <v>50000</v>
      </c>
      <c r="H237" s="113">
        <v>50000</v>
      </c>
      <c r="I237" s="113">
        <v>50000</v>
      </c>
      <c r="J237" s="113">
        <v>50000</v>
      </c>
      <c r="K237" s="113"/>
      <c r="L237" s="113"/>
      <c r="M237" s="113"/>
      <c r="N237" s="113"/>
      <c r="O237" s="113"/>
      <c r="P237" s="113">
        <f t="shared" si="15"/>
        <v>350000</v>
      </c>
      <c r="Q237" s="127">
        <v>100000</v>
      </c>
      <c r="R237" s="128">
        <v>50000</v>
      </c>
      <c r="S237" s="113">
        <f>50000+50000+50000+50000</f>
        <v>200000</v>
      </c>
      <c r="T237" s="129">
        <f t="shared" si="20"/>
        <v>200000</v>
      </c>
      <c r="U237" s="129">
        <v>0</v>
      </c>
      <c r="V237" s="129"/>
      <c r="W237" s="130">
        <f t="shared" si="19"/>
        <v>0</v>
      </c>
      <c r="X237" s="131">
        <f t="shared" si="17"/>
        <v>1</v>
      </c>
    </row>
    <row r="238" spans="1:24" ht="18.75" x14ac:dyDescent="0.3">
      <c r="A238" s="1">
        <v>236</v>
      </c>
      <c r="B238" s="1" t="s">
        <v>231</v>
      </c>
      <c r="C238" s="12">
        <v>350000</v>
      </c>
      <c r="D238" s="12"/>
      <c r="E238" s="12">
        <v>100000</v>
      </c>
      <c r="F238" s="12">
        <v>50000</v>
      </c>
      <c r="G238" s="12">
        <v>50000</v>
      </c>
      <c r="H238" s="12">
        <v>100000</v>
      </c>
      <c r="I238" s="12">
        <v>100000</v>
      </c>
      <c r="J238" s="12"/>
      <c r="K238" s="12"/>
      <c r="L238" s="12"/>
      <c r="M238" s="12"/>
      <c r="N238" s="12"/>
      <c r="O238" s="12"/>
      <c r="P238" s="12">
        <f t="shared" si="15"/>
        <v>750000</v>
      </c>
      <c r="Q238" s="2">
        <v>300000</v>
      </c>
      <c r="R238" s="3">
        <v>50000</v>
      </c>
      <c r="S238" s="12">
        <f>100000+50000+50000+100000+100000</f>
        <v>400000</v>
      </c>
      <c r="T238" s="26">
        <f t="shared" si="20"/>
        <v>400000</v>
      </c>
      <c r="U238" s="26">
        <v>0</v>
      </c>
      <c r="V238" s="26"/>
      <c r="W238" s="22">
        <f t="shared" si="19"/>
        <v>0</v>
      </c>
      <c r="X238" s="11">
        <f t="shared" si="17"/>
        <v>3</v>
      </c>
    </row>
    <row r="239" spans="1:24" s="201" customFormat="1" ht="19.5" customHeight="1" x14ac:dyDescent="0.3">
      <c r="A239" s="194">
        <v>237</v>
      </c>
      <c r="B239" s="194" t="s">
        <v>232</v>
      </c>
      <c r="C239" s="195">
        <v>150000</v>
      </c>
      <c r="D239" s="195">
        <v>50000</v>
      </c>
      <c r="E239" s="195">
        <v>50000</v>
      </c>
      <c r="F239" s="195">
        <v>100000</v>
      </c>
      <c r="G239" s="195"/>
      <c r="H239" s="195">
        <v>100000</v>
      </c>
      <c r="I239" s="195"/>
      <c r="J239" s="195">
        <v>100000</v>
      </c>
      <c r="K239" s="195"/>
      <c r="L239" s="195"/>
      <c r="M239" s="195"/>
      <c r="N239" s="195"/>
      <c r="O239" s="195"/>
      <c r="P239" s="195">
        <f t="shared" si="15"/>
        <v>550000</v>
      </c>
      <c r="Q239" s="196">
        <v>100000</v>
      </c>
      <c r="R239" s="197">
        <v>50000</v>
      </c>
      <c r="S239" s="195">
        <f>100000+100000+100000+100000</f>
        <v>400000</v>
      </c>
      <c r="T239" s="198">
        <f t="shared" si="20"/>
        <v>400000</v>
      </c>
      <c r="U239" s="198">
        <v>0</v>
      </c>
      <c r="V239" s="198"/>
      <c r="W239" s="199">
        <f t="shared" si="19"/>
        <v>0</v>
      </c>
      <c r="X239" s="200">
        <f t="shared" si="17"/>
        <v>1</v>
      </c>
    </row>
    <row r="240" spans="1:24" ht="18.75" x14ac:dyDescent="0.3">
      <c r="A240" s="1">
        <v>238</v>
      </c>
      <c r="B240" s="1" t="s">
        <v>233</v>
      </c>
      <c r="C240" s="12">
        <v>150000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>
        <f t="shared" si="15"/>
        <v>150000</v>
      </c>
      <c r="Q240" s="2">
        <v>100000</v>
      </c>
      <c r="R240" s="3">
        <v>50000</v>
      </c>
      <c r="S240" s="12"/>
      <c r="T240" s="26">
        <f t="shared" si="20"/>
        <v>0</v>
      </c>
      <c r="U240" s="26">
        <v>0</v>
      </c>
      <c r="V240" s="26"/>
      <c r="W240" s="22">
        <f t="shared" si="19"/>
        <v>0</v>
      </c>
      <c r="X240" s="11">
        <f t="shared" si="17"/>
        <v>1</v>
      </c>
    </row>
    <row r="241" spans="1:24" ht="18.75" x14ac:dyDescent="0.3">
      <c r="A241" s="1">
        <v>239</v>
      </c>
      <c r="B241" s="1" t="s">
        <v>234</v>
      </c>
      <c r="C241" s="12">
        <v>550000</v>
      </c>
      <c r="D241" s="12"/>
      <c r="E241" s="12"/>
      <c r="F241" s="12">
        <v>50000</v>
      </c>
      <c r="G241" s="12">
        <v>100000</v>
      </c>
      <c r="H241" s="12"/>
      <c r="I241" s="12"/>
      <c r="J241" s="12"/>
      <c r="K241" s="12"/>
      <c r="L241" s="12"/>
      <c r="M241" s="12"/>
      <c r="N241" s="12"/>
      <c r="O241" s="12"/>
      <c r="P241" s="12">
        <f t="shared" si="15"/>
        <v>700000</v>
      </c>
      <c r="Q241" s="2">
        <f>200000+100000+100000</f>
        <v>400000</v>
      </c>
      <c r="R241" s="3">
        <v>50000</v>
      </c>
      <c r="S241" s="12">
        <f>50000+50000+50000+100000</f>
        <v>250000</v>
      </c>
      <c r="T241" s="26">
        <f t="shared" si="20"/>
        <v>200000</v>
      </c>
      <c r="U241" s="26">
        <f>S241-200000</f>
        <v>50000</v>
      </c>
      <c r="V241" s="26"/>
      <c r="W241" s="22">
        <f t="shared" si="19"/>
        <v>0</v>
      </c>
      <c r="X241" s="11">
        <f t="shared" si="17"/>
        <v>4</v>
      </c>
    </row>
    <row r="242" spans="1:24" ht="18.75" x14ac:dyDescent="0.3">
      <c r="A242" s="1">
        <v>240</v>
      </c>
      <c r="B242" s="4" t="s">
        <v>235</v>
      </c>
      <c r="C242" s="12">
        <v>150000</v>
      </c>
      <c r="D242" s="12"/>
      <c r="E242" s="12">
        <f>10000+14000+20000+23000+13000</f>
        <v>80000</v>
      </c>
      <c r="F242" s="12">
        <f>12000+15000+17000</f>
        <v>44000</v>
      </c>
      <c r="G242" s="12">
        <f>50000+38000+51000</f>
        <v>139000</v>
      </c>
      <c r="H242" s="12"/>
      <c r="I242" s="12"/>
      <c r="J242" s="12"/>
      <c r="K242" s="12"/>
      <c r="L242" s="12"/>
      <c r="M242" s="12"/>
      <c r="N242" s="12"/>
      <c r="O242" s="12"/>
      <c r="P242" s="12">
        <f t="shared" si="15"/>
        <v>413000</v>
      </c>
      <c r="Q242" s="2">
        <v>100000</v>
      </c>
      <c r="R242" s="3">
        <v>50000</v>
      </c>
      <c r="S242" s="12">
        <f>10000+14000+20000+23000+13000+12000+15000+17000+50000+38000+51000</f>
        <v>263000</v>
      </c>
      <c r="T242" s="26">
        <f t="shared" si="20"/>
        <v>200000</v>
      </c>
      <c r="U242" s="26">
        <v>63000</v>
      </c>
      <c r="V242" s="26"/>
      <c r="W242" s="22">
        <f t="shared" si="19"/>
        <v>0</v>
      </c>
      <c r="X242" s="11">
        <f t="shared" si="17"/>
        <v>1</v>
      </c>
    </row>
    <row r="243" spans="1:24" ht="18.75" x14ac:dyDescent="0.3">
      <c r="A243" s="1">
        <v>241</v>
      </c>
      <c r="B243" s="1" t="s">
        <v>236</v>
      </c>
      <c r="C243" s="12">
        <v>250000</v>
      </c>
      <c r="D243" s="12">
        <v>100000</v>
      </c>
      <c r="E243" s="12">
        <v>200000</v>
      </c>
      <c r="F243" s="12">
        <v>200000</v>
      </c>
      <c r="G243" s="12">
        <v>500000</v>
      </c>
      <c r="H243" s="12">
        <v>800000</v>
      </c>
      <c r="I243" s="12">
        <v>600000</v>
      </c>
      <c r="J243" s="12"/>
      <c r="K243" s="12"/>
      <c r="L243" s="12"/>
      <c r="M243" s="12"/>
      <c r="N243" s="12"/>
      <c r="O243" s="12"/>
      <c r="P243" s="12">
        <f t="shared" si="15"/>
        <v>2650000</v>
      </c>
      <c r="Q243" s="2">
        <v>200000</v>
      </c>
      <c r="R243" s="3">
        <v>50000</v>
      </c>
      <c r="S243" s="12">
        <f>100000+200000+200000+500000+800000+600000</f>
        <v>2400000</v>
      </c>
      <c r="T243" s="26">
        <f>S243-U243</f>
        <v>900000</v>
      </c>
      <c r="U243" s="26">
        <f>1500000</f>
        <v>1500000</v>
      </c>
      <c r="V243" s="26"/>
      <c r="W243" s="22">
        <f t="shared" si="19"/>
        <v>0</v>
      </c>
      <c r="X243" s="11">
        <f t="shared" si="17"/>
        <v>2</v>
      </c>
    </row>
    <row r="244" spans="1:24" ht="18.75" x14ac:dyDescent="0.3">
      <c r="A244" s="1">
        <v>242</v>
      </c>
      <c r="B244" s="1" t="s">
        <v>237</v>
      </c>
      <c r="C244" s="12">
        <v>350000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>
        <f t="shared" si="15"/>
        <v>350000</v>
      </c>
      <c r="Q244" s="2">
        <v>300000</v>
      </c>
      <c r="R244" s="3">
        <v>50000</v>
      </c>
      <c r="S244" s="12"/>
      <c r="T244" s="26">
        <f t="shared" si="20"/>
        <v>0</v>
      </c>
      <c r="U244" s="26">
        <v>0</v>
      </c>
      <c r="V244" s="26"/>
      <c r="W244" s="22">
        <f t="shared" si="19"/>
        <v>0</v>
      </c>
      <c r="X244" s="11">
        <f t="shared" si="17"/>
        <v>3</v>
      </c>
    </row>
    <row r="245" spans="1:24" ht="18.75" x14ac:dyDescent="0.3">
      <c r="A245" s="1">
        <v>243</v>
      </c>
      <c r="B245" s="1" t="s">
        <v>238</v>
      </c>
      <c r="C245" s="12">
        <v>150000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>
        <f t="shared" si="15"/>
        <v>150000</v>
      </c>
      <c r="Q245" s="2">
        <v>100000</v>
      </c>
      <c r="R245" s="3">
        <v>50000</v>
      </c>
      <c r="S245" s="12"/>
      <c r="T245" s="26">
        <f t="shared" si="20"/>
        <v>0</v>
      </c>
      <c r="U245" s="26">
        <v>0</v>
      </c>
      <c r="V245" s="26"/>
      <c r="W245" s="22">
        <f t="shared" si="19"/>
        <v>0</v>
      </c>
      <c r="X245" s="11">
        <f t="shared" si="17"/>
        <v>1</v>
      </c>
    </row>
    <row r="246" spans="1:24" ht="18.75" x14ac:dyDescent="0.3">
      <c r="A246" s="1">
        <v>244</v>
      </c>
      <c r="B246" s="1" t="s">
        <v>239</v>
      </c>
      <c r="C246" s="12">
        <v>350000</v>
      </c>
      <c r="D246" s="12"/>
      <c r="E246" s="12"/>
      <c r="F246" s="12"/>
      <c r="G246" s="12">
        <v>100000</v>
      </c>
      <c r="H246" s="12"/>
      <c r="I246" s="12"/>
      <c r="J246" s="12"/>
      <c r="K246" s="12"/>
      <c r="L246" s="12"/>
      <c r="M246" s="12"/>
      <c r="N246" s="12"/>
      <c r="O246" s="12"/>
      <c r="P246" s="12">
        <f t="shared" si="15"/>
        <v>450000</v>
      </c>
      <c r="Q246" s="2">
        <v>300000</v>
      </c>
      <c r="R246" s="3">
        <v>50000</v>
      </c>
      <c r="S246" s="12">
        <v>100000</v>
      </c>
      <c r="T246" s="26">
        <f t="shared" si="20"/>
        <v>100000</v>
      </c>
      <c r="U246" s="26">
        <v>0</v>
      </c>
      <c r="V246" s="26"/>
      <c r="W246" s="22">
        <f t="shared" si="19"/>
        <v>0</v>
      </c>
      <c r="X246" s="11">
        <f t="shared" si="17"/>
        <v>3</v>
      </c>
    </row>
    <row r="247" spans="1:24" ht="18.75" x14ac:dyDescent="0.3">
      <c r="A247" s="1">
        <v>245</v>
      </c>
      <c r="B247" s="1" t="s">
        <v>363</v>
      </c>
      <c r="C247" s="12">
        <v>2250000</v>
      </c>
      <c r="D247" s="12"/>
      <c r="E247" s="12">
        <v>200000</v>
      </c>
      <c r="F247" s="12">
        <v>200000</v>
      </c>
      <c r="G247" s="12">
        <v>300000</v>
      </c>
      <c r="H247" s="12">
        <v>300000</v>
      </c>
      <c r="I247" s="12">
        <v>300000</v>
      </c>
      <c r="J247" s="12"/>
      <c r="K247" s="12"/>
      <c r="L247" s="12"/>
      <c r="M247" s="12"/>
      <c r="N247" s="12"/>
      <c r="O247" s="12"/>
      <c r="P247" s="12">
        <f t="shared" si="15"/>
        <v>3550000</v>
      </c>
      <c r="Q247" s="2">
        <f>1000000+1000000</f>
        <v>2000000</v>
      </c>
      <c r="R247" s="3">
        <v>50000</v>
      </c>
      <c r="S247" s="12">
        <f>200000+200000+200000+300000+300000+300000</f>
        <v>1500000</v>
      </c>
      <c r="T247" s="26">
        <f t="shared" si="20"/>
        <v>200000</v>
      </c>
      <c r="U247" s="26">
        <f>S247-200000</f>
        <v>1300000</v>
      </c>
      <c r="V247" s="26"/>
      <c r="W247" s="22">
        <f t="shared" si="19"/>
        <v>0</v>
      </c>
      <c r="X247" s="11">
        <f t="shared" si="17"/>
        <v>20</v>
      </c>
    </row>
    <row r="248" spans="1:24" s="163" customFormat="1" ht="18.75" x14ac:dyDescent="0.3">
      <c r="A248" s="156">
        <v>246</v>
      </c>
      <c r="B248" s="156" t="s">
        <v>240</v>
      </c>
      <c r="C248" s="157">
        <v>6450000</v>
      </c>
      <c r="D248" s="157"/>
      <c r="E248" s="157">
        <f>150000+3000000</f>
        <v>3150000</v>
      </c>
      <c r="F248" s="157">
        <v>100000</v>
      </c>
      <c r="G248" s="157">
        <v>100000</v>
      </c>
      <c r="H248" s="157">
        <v>100000</v>
      </c>
      <c r="I248" s="157">
        <v>100000</v>
      </c>
      <c r="J248" s="157">
        <v>100000</v>
      </c>
      <c r="K248" s="157"/>
      <c r="L248" s="157"/>
      <c r="M248" s="157"/>
      <c r="N248" s="157"/>
      <c r="O248" s="157"/>
      <c r="P248" s="157">
        <f t="shared" si="15"/>
        <v>10100000</v>
      </c>
      <c r="Q248" s="158">
        <f>2000000+4000000+3000000</f>
        <v>9000000</v>
      </c>
      <c r="R248" s="159">
        <v>50000</v>
      </c>
      <c r="S248" s="157">
        <f>100000+100000+100000+100000+150000+100000+100000+100000+100000+100000</f>
        <v>1050000</v>
      </c>
      <c r="T248" s="160">
        <f t="shared" si="20"/>
        <v>250000</v>
      </c>
      <c r="U248" s="160">
        <f>S248-250000</f>
        <v>800000</v>
      </c>
      <c r="V248" s="160"/>
      <c r="W248" s="161">
        <f t="shared" si="19"/>
        <v>0</v>
      </c>
      <c r="X248" s="162">
        <f t="shared" si="17"/>
        <v>90</v>
      </c>
    </row>
    <row r="249" spans="1:24" ht="18.75" x14ac:dyDescent="0.3">
      <c r="A249" s="1">
        <v>247</v>
      </c>
      <c r="B249" s="1" t="s">
        <v>241</v>
      </c>
      <c r="C249" s="12">
        <v>1800000</v>
      </c>
      <c r="D249" s="12"/>
      <c r="E249" s="12"/>
      <c r="F249" s="12"/>
      <c r="G249" s="12"/>
      <c r="H249" s="12">
        <v>200000</v>
      </c>
      <c r="I249" s="12"/>
      <c r="J249" s="12"/>
      <c r="K249" s="12"/>
      <c r="L249" s="12"/>
      <c r="M249" s="12"/>
      <c r="N249" s="12"/>
      <c r="O249" s="12"/>
      <c r="P249" s="12">
        <f t="shared" si="15"/>
        <v>2000000</v>
      </c>
      <c r="Q249" s="2">
        <v>1500000</v>
      </c>
      <c r="R249" s="3">
        <v>50000</v>
      </c>
      <c r="S249" s="12">
        <f>250000+200000</f>
        <v>450000</v>
      </c>
      <c r="T249" s="26">
        <f t="shared" si="20"/>
        <v>250000</v>
      </c>
      <c r="U249" s="26">
        <f>S249-250000</f>
        <v>200000</v>
      </c>
      <c r="V249" s="26"/>
      <c r="W249" s="22">
        <f t="shared" si="19"/>
        <v>0</v>
      </c>
      <c r="X249" s="11">
        <f t="shared" si="17"/>
        <v>15</v>
      </c>
    </row>
    <row r="250" spans="1:24" ht="18.75" x14ac:dyDescent="0.3">
      <c r="A250" s="1">
        <v>248</v>
      </c>
      <c r="B250" s="1" t="s">
        <v>242</v>
      </c>
      <c r="C250" s="12">
        <v>150000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>
        <f t="shared" si="15"/>
        <v>150000</v>
      </c>
      <c r="Q250" s="2">
        <v>100000</v>
      </c>
      <c r="R250" s="3">
        <v>50000</v>
      </c>
      <c r="S250" s="12"/>
      <c r="T250" s="26">
        <f t="shared" si="20"/>
        <v>0</v>
      </c>
      <c r="U250" s="26">
        <v>0</v>
      </c>
      <c r="V250" s="26"/>
      <c r="W250" s="22">
        <f t="shared" ref="W250:W281" si="21">P250-(Q250+R250+S250)</f>
        <v>0</v>
      </c>
      <c r="X250" s="11">
        <f t="shared" si="17"/>
        <v>1</v>
      </c>
    </row>
    <row r="251" spans="1:24" ht="18.75" x14ac:dyDescent="0.3">
      <c r="A251" s="1">
        <v>249</v>
      </c>
      <c r="B251" s="1" t="s">
        <v>243</v>
      </c>
      <c r="C251" s="12">
        <v>150000</v>
      </c>
      <c r="D251" s="12"/>
      <c r="E251" s="12">
        <v>100000</v>
      </c>
      <c r="F251" s="12">
        <v>100000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>
        <f t="shared" si="15"/>
        <v>350000</v>
      </c>
      <c r="Q251" s="2">
        <v>100000</v>
      </c>
      <c r="R251" s="3">
        <v>50000</v>
      </c>
      <c r="S251" s="12">
        <f>100000+100000</f>
        <v>200000</v>
      </c>
      <c r="T251" s="26">
        <f t="shared" si="20"/>
        <v>100000</v>
      </c>
      <c r="U251" s="26">
        <v>100000</v>
      </c>
      <c r="V251" s="26"/>
      <c r="W251" s="22">
        <f t="shared" si="21"/>
        <v>0</v>
      </c>
      <c r="X251" s="11">
        <f t="shared" si="17"/>
        <v>1</v>
      </c>
    </row>
    <row r="252" spans="1:24" ht="18.75" x14ac:dyDescent="0.3">
      <c r="A252" s="1">
        <v>250</v>
      </c>
      <c r="B252" s="1" t="s">
        <v>244</v>
      </c>
      <c r="C252" s="12">
        <v>9050000</v>
      </c>
      <c r="D252" s="12"/>
      <c r="E252" s="12">
        <v>200000</v>
      </c>
      <c r="F252" s="12"/>
      <c r="G252" s="12">
        <v>195000</v>
      </c>
      <c r="H252" s="12"/>
      <c r="I252" s="12"/>
      <c r="J252" s="12"/>
      <c r="K252" s="12"/>
      <c r="L252" s="12"/>
      <c r="M252" s="12"/>
      <c r="N252" s="12"/>
      <c r="O252" s="12"/>
      <c r="P252" s="12">
        <f t="shared" si="15"/>
        <v>9445000</v>
      </c>
      <c r="Q252" s="2">
        <f>1000000+4000000+4000000</f>
        <v>9000000</v>
      </c>
      <c r="R252" s="3">
        <v>50000</v>
      </c>
      <c r="S252" s="12">
        <f>200000+195000</f>
        <v>395000</v>
      </c>
      <c r="T252" s="26">
        <f t="shared" si="20"/>
        <v>200000</v>
      </c>
      <c r="U252" s="26">
        <v>195000</v>
      </c>
      <c r="V252" s="26"/>
      <c r="W252" s="22">
        <f t="shared" si="21"/>
        <v>0</v>
      </c>
      <c r="X252" s="11">
        <f t="shared" si="17"/>
        <v>90</v>
      </c>
    </row>
    <row r="253" spans="1:24" ht="18.75" x14ac:dyDescent="0.3">
      <c r="A253" s="1">
        <v>251</v>
      </c>
      <c r="B253" s="1" t="s">
        <v>245</v>
      </c>
      <c r="C253" s="12">
        <v>550000</v>
      </c>
      <c r="D253" s="12"/>
      <c r="E253" s="12"/>
      <c r="F253" s="12">
        <v>100000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f t="shared" si="15"/>
        <v>650000</v>
      </c>
      <c r="Q253" s="2">
        <f>100000+400000</f>
        <v>500000</v>
      </c>
      <c r="R253" s="3">
        <v>50000</v>
      </c>
      <c r="S253" s="12">
        <v>100000</v>
      </c>
      <c r="T253" s="26">
        <f t="shared" si="20"/>
        <v>100000</v>
      </c>
      <c r="U253" s="26">
        <v>0</v>
      </c>
      <c r="V253" s="26"/>
      <c r="W253" s="22">
        <f t="shared" si="21"/>
        <v>0</v>
      </c>
      <c r="X253" s="11">
        <f t="shared" si="17"/>
        <v>5</v>
      </c>
    </row>
    <row r="254" spans="1:24" ht="18.75" x14ac:dyDescent="0.3">
      <c r="A254" s="1">
        <v>252</v>
      </c>
      <c r="B254" s="1" t="s">
        <v>246</v>
      </c>
      <c r="C254" s="12">
        <v>1050000</v>
      </c>
      <c r="D254" s="12"/>
      <c r="E254" s="12">
        <v>200000</v>
      </c>
      <c r="F254" s="12"/>
      <c r="G254" s="12"/>
      <c r="H254" s="12">
        <v>300000</v>
      </c>
      <c r="I254" s="12"/>
      <c r="J254" s="12"/>
      <c r="K254" s="12"/>
      <c r="L254" s="12"/>
      <c r="M254" s="12"/>
      <c r="N254" s="12"/>
      <c r="O254" s="12"/>
      <c r="P254" s="12">
        <f t="shared" si="15"/>
        <v>1550000</v>
      </c>
      <c r="Q254" s="2">
        <f>300000+700000</f>
        <v>1000000</v>
      </c>
      <c r="R254" s="3">
        <v>50000</v>
      </c>
      <c r="S254" s="12">
        <f>200000+300000</f>
        <v>500000</v>
      </c>
      <c r="T254" s="26">
        <f t="shared" si="20"/>
        <v>300000</v>
      </c>
      <c r="U254" s="26">
        <v>200000</v>
      </c>
      <c r="V254" s="26"/>
      <c r="W254" s="22">
        <f t="shared" si="21"/>
        <v>0</v>
      </c>
      <c r="X254" s="11">
        <f t="shared" si="17"/>
        <v>10</v>
      </c>
    </row>
    <row r="255" spans="1:24" ht="18.75" x14ac:dyDescent="0.3">
      <c r="A255" s="1">
        <v>253</v>
      </c>
      <c r="B255" s="1" t="s">
        <v>247</v>
      </c>
      <c r="C255" s="12">
        <v>150000</v>
      </c>
      <c r="D255" s="12"/>
      <c r="E255" s="12"/>
      <c r="F255" s="12"/>
      <c r="G255" s="12">
        <v>300000</v>
      </c>
      <c r="H255" s="12"/>
      <c r="I255" s="12">
        <v>300000</v>
      </c>
      <c r="J255" s="12"/>
      <c r="K255" s="12"/>
      <c r="L255" s="12"/>
      <c r="M255" s="12"/>
      <c r="N255" s="12"/>
      <c r="O255" s="12"/>
      <c r="P255" s="12">
        <f t="shared" si="15"/>
        <v>750000</v>
      </c>
      <c r="Q255" s="2">
        <v>100000</v>
      </c>
      <c r="R255" s="3">
        <v>50000</v>
      </c>
      <c r="S255" s="12">
        <f>300000+300000</f>
        <v>600000</v>
      </c>
      <c r="T255" s="26">
        <f t="shared" si="20"/>
        <v>600000</v>
      </c>
      <c r="U255" s="26">
        <v>0</v>
      </c>
      <c r="V255" s="26"/>
      <c r="W255" s="22">
        <f t="shared" si="21"/>
        <v>0</v>
      </c>
      <c r="X255" s="11">
        <f t="shared" si="17"/>
        <v>1</v>
      </c>
    </row>
    <row r="256" spans="1:24" s="163" customFormat="1" ht="18.75" x14ac:dyDescent="0.3">
      <c r="A256" s="156">
        <v>254</v>
      </c>
      <c r="B256" s="156" t="s">
        <v>248</v>
      </c>
      <c r="C256" s="157">
        <v>370000</v>
      </c>
      <c r="D256" s="157">
        <v>100000</v>
      </c>
      <c r="E256" s="157">
        <v>100000</v>
      </c>
      <c r="F256" s="157">
        <f>100000+130000</f>
        <v>230000</v>
      </c>
      <c r="G256" s="157">
        <f>100000+100000</f>
        <v>200000</v>
      </c>
      <c r="H256" s="157">
        <f>150000+150000</f>
        <v>300000</v>
      </c>
      <c r="I256" s="157">
        <f>100000+100000</f>
        <v>200000</v>
      </c>
      <c r="J256" s="157">
        <v>100000</v>
      </c>
      <c r="K256" s="157"/>
      <c r="L256" s="157"/>
      <c r="M256" s="157"/>
      <c r="N256" s="157"/>
      <c r="O256" s="157"/>
      <c r="P256" s="157">
        <f t="shared" si="15"/>
        <v>1600000</v>
      </c>
      <c r="Q256" s="158">
        <v>100000</v>
      </c>
      <c r="R256" s="159">
        <v>50000</v>
      </c>
      <c r="S256" s="157">
        <f>20000+50000+50000+100000+100000+100000+100000+130000+100000+100000+150000+150000+100000+100000+100000</f>
        <v>1450000</v>
      </c>
      <c r="T256" s="160">
        <f t="shared" si="20"/>
        <v>250000</v>
      </c>
      <c r="U256" s="160">
        <f>S256-250000</f>
        <v>1200000</v>
      </c>
      <c r="V256" s="160"/>
      <c r="W256" s="161">
        <f t="shared" si="21"/>
        <v>0</v>
      </c>
      <c r="X256" s="162">
        <f t="shared" si="17"/>
        <v>1</v>
      </c>
    </row>
    <row r="257" spans="1:24" ht="18.75" x14ac:dyDescent="0.3">
      <c r="A257" s="1">
        <v>255</v>
      </c>
      <c r="B257" s="1" t="s">
        <v>249</v>
      </c>
      <c r="C257" s="12">
        <v>250000</v>
      </c>
      <c r="D257" s="12"/>
      <c r="E257" s="12"/>
      <c r="F257" s="12">
        <v>605000</v>
      </c>
      <c r="G257" s="12"/>
      <c r="H257" s="12">
        <v>600000</v>
      </c>
      <c r="I257" s="12">
        <v>-1000000</v>
      </c>
      <c r="J257" s="12"/>
      <c r="K257" s="12"/>
      <c r="L257" s="12"/>
      <c r="M257" s="12"/>
      <c r="N257" s="12"/>
      <c r="O257" s="12"/>
      <c r="P257" s="12">
        <f t="shared" si="15"/>
        <v>455000</v>
      </c>
      <c r="Q257" s="2">
        <v>100000</v>
      </c>
      <c r="R257" s="3">
        <v>50000</v>
      </c>
      <c r="S257" s="12">
        <f>100000+605000+600000-1000000</f>
        <v>305000</v>
      </c>
      <c r="T257" s="26">
        <f t="shared" si="20"/>
        <v>250000</v>
      </c>
      <c r="U257" s="26">
        <f>S257-250000</f>
        <v>55000</v>
      </c>
      <c r="V257" s="26">
        <v>1000000</v>
      </c>
      <c r="W257" s="22">
        <f t="shared" si="21"/>
        <v>0</v>
      </c>
      <c r="X257" s="11">
        <f t="shared" si="17"/>
        <v>1</v>
      </c>
    </row>
    <row r="258" spans="1:24" ht="18.75" x14ac:dyDescent="0.3">
      <c r="A258" s="1">
        <v>256</v>
      </c>
      <c r="B258" s="1" t="s">
        <v>250</v>
      </c>
      <c r="C258" s="12">
        <v>150000</v>
      </c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f t="shared" si="15"/>
        <v>150000</v>
      </c>
      <c r="Q258" s="2">
        <v>100000</v>
      </c>
      <c r="R258" s="3">
        <v>50000</v>
      </c>
      <c r="S258" s="12"/>
      <c r="T258" s="26">
        <f t="shared" si="20"/>
        <v>0</v>
      </c>
      <c r="U258" s="26">
        <v>0</v>
      </c>
      <c r="V258" s="26"/>
      <c r="W258" s="22">
        <f t="shared" si="21"/>
        <v>0</v>
      </c>
      <c r="X258" s="11">
        <f t="shared" si="17"/>
        <v>1</v>
      </c>
    </row>
    <row r="259" spans="1:24" ht="18.75" x14ac:dyDescent="0.3">
      <c r="A259" s="1">
        <v>257</v>
      </c>
      <c r="B259" s="1" t="s">
        <v>251</v>
      </c>
      <c r="C259" s="12">
        <v>450000</v>
      </c>
      <c r="D259" s="12"/>
      <c r="E259" s="12">
        <v>100000</v>
      </c>
      <c r="F259" s="12">
        <f>50000+50000</f>
        <v>100000</v>
      </c>
      <c r="G259" s="12">
        <v>50000</v>
      </c>
      <c r="H259" s="12">
        <f>50000-300000</f>
        <v>-250000</v>
      </c>
      <c r="I259" s="12">
        <v>100000</v>
      </c>
      <c r="J259" s="12"/>
      <c r="K259" s="12"/>
      <c r="L259" s="12"/>
      <c r="M259" s="12"/>
      <c r="N259" s="12"/>
      <c r="O259" s="12"/>
      <c r="P259" s="12">
        <f t="shared" ref="P259:P322" si="22">SUM(C259:O259)</f>
        <v>550000</v>
      </c>
      <c r="Q259" s="2">
        <v>200000</v>
      </c>
      <c r="R259" s="3">
        <v>50000</v>
      </c>
      <c r="S259" s="12">
        <f>50000+50000+100000+100000+50000+50000+50000+50000-300000+100000</f>
        <v>300000</v>
      </c>
      <c r="T259" s="26">
        <f t="shared" si="20"/>
        <v>200000</v>
      </c>
      <c r="U259" s="26">
        <f>S259-200000</f>
        <v>100000</v>
      </c>
      <c r="V259" s="26">
        <v>300000</v>
      </c>
      <c r="W259" s="22">
        <f t="shared" si="21"/>
        <v>0</v>
      </c>
      <c r="X259" s="11">
        <f t="shared" ref="X259:X323" si="23">Q259/100000</f>
        <v>2</v>
      </c>
    </row>
    <row r="260" spans="1:24" ht="18.75" x14ac:dyDescent="0.3">
      <c r="A260" s="1">
        <v>258</v>
      </c>
      <c r="B260" s="1" t="s">
        <v>252</v>
      </c>
      <c r="C260" s="12">
        <v>1050000</v>
      </c>
      <c r="D260" s="12"/>
      <c r="E260" s="12">
        <v>100000</v>
      </c>
      <c r="F260" s="12"/>
      <c r="G260" s="12"/>
      <c r="H260" s="12">
        <v>150000</v>
      </c>
      <c r="I260" s="12"/>
      <c r="J260" s="12"/>
      <c r="K260" s="12"/>
      <c r="L260" s="12"/>
      <c r="M260" s="12"/>
      <c r="N260" s="12"/>
      <c r="O260" s="12"/>
      <c r="P260" s="12">
        <f t="shared" si="22"/>
        <v>1300000</v>
      </c>
      <c r="Q260" s="2">
        <f>400000+600000</f>
        <v>1000000</v>
      </c>
      <c r="R260" s="3">
        <v>50000</v>
      </c>
      <c r="S260" s="12">
        <f>100000+150000</f>
        <v>250000</v>
      </c>
      <c r="T260" s="26">
        <f t="shared" ref="T260:T291" si="24">S260-U260</f>
        <v>250000</v>
      </c>
      <c r="U260" s="26">
        <v>0</v>
      </c>
      <c r="V260" s="26"/>
      <c r="W260" s="22">
        <f t="shared" si="21"/>
        <v>0</v>
      </c>
      <c r="X260" s="11">
        <f t="shared" si="23"/>
        <v>10</v>
      </c>
    </row>
    <row r="261" spans="1:24" s="132" customFormat="1" ht="18.75" x14ac:dyDescent="0.3">
      <c r="A261" s="126">
        <v>259</v>
      </c>
      <c r="B261" s="126" t="s">
        <v>253</v>
      </c>
      <c r="C261" s="113">
        <v>200000</v>
      </c>
      <c r="D261" s="113"/>
      <c r="E261" s="113">
        <v>50000</v>
      </c>
      <c r="F261" s="113"/>
      <c r="G261" s="113">
        <v>50000</v>
      </c>
      <c r="H261" s="113"/>
      <c r="I261" s="113"/>
      <c r="J261" s="113">
        <v>150000</v>
      </c>
      <c r="K261" s="113"/>
      <c r="L261" s="113"/>
      <c r="M261" s="113"/>
      <c r="N261" s="113"/>
      <c r="O261" s="113"/>
      <c r="P261" s="113">
        <f t="shared" si="22"/>
        <v>450000</v>
      </c>
      <c r="Q261" s="127">
        <v>100000</v>
      </c>
      <c r="R261" s="128">
        <v>50000</v>
      </c>
      <c r="S261" s="113">
        <f>50000+50000+50000+150000</f>
        <v>300000</v>
      </c>
      <c r="T261" s="129">
        <f t="shared" si="24"/>
        <v>150000</v>
      </c>
      <c r="U261" s="129">
        <f>S261-150000</f>
        <v>150000</v>
      </c>
      <c r="V261" s="129"/>
      <c r="W261" s="130">
        <f t="shared" si="21"/>
        <v>0</v>
      </c>
      <c r="X261" s="131">
        <f t="shared" si="23"/>
        <v>1</v>
      </c>
    </row>
    <row r="262" spans="1:24" ht="18.75" x14ac:dyDescent="0.3">
      <c r="A262" s="1">
        <v>260</v>
      </c>
      <c r="B262" s="4" t="s">
        <v>254</v>
      </c>
      <c r="C262" s="12">
        <v>450000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>
        <f t="shared" si="22"/>
        <v>450000</v>
      </c>
      <c r="Q262" s="2">
        <v>200000</v>
      </c>
      <c r="R262" s="3">
        <v>50000</v>
      </c>
      <c r="S262" s="12">
        <v>200000</v>
      </c>
      <c r="T262" s="26">
        <f t="shared" si="24"/>
        <v>50000</v>
      </c>
      <c r="U262" s="26">
        <f>S262-50000</f>
        <v>150000</v>
      </c>
      <c r="V262" s="26"/>
      <c r="W262" s="22">
        <f t="shared" si="21"/>
        <v>0</v>
      </c>
      <c r="X262" s="11">
        <f t="shared" si="23"/>
        <v>2</v>
      </c>
    </row>
    <row r="263" spans="1:24" ht="18.75" x14ac:dyDescent="0.3">
      <c r="A263" s="1">
        <v>261</v>
      </c>
      <c r="B263" s="4" t="s">
        <v>255</v>
      </c>
      <c r="C263" s="12">
        <v>550000</v>
      </c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>
        <f t="shared" si="22"/>
        <v>550000</v>
      </c>
      <c r="Q263" s="2">
        <f>100000+400000</f>
        <v>500000</v>
      </c>
      <c r="R263" s="3">
        <v>50000</v>
      </c>
      <c r="S263" s="12"/>
      <c r="T263" s="26">
        <f t="shared" si="24"/>
        <v>0</v>
      </c>
      <c r="U263" s="26">
        <v>0</v>
      </c>
      <c r="V263" s="26"/>
      <c r="W263" s="22">
        <f t="shared" si="21"/>
        <v>0</v>
      </c>
      <c r="X263" s="11">
        <f t="shared" si="23"/>
        <v>5</v>
      </c>
    </row>
    <row r="264" spans="1:24" ht="18.75" x14ac:dyDescent="0.3">
      <c r="A264" s="1">
        <v>262</v>
      </c>
      <c r="B264" s="1" t="s">
        <v>256</v>
      </c>
      <c r="C264" s="12">
        <v>4550000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>
        <f t="shared" si="22"/>
        <v>4550000</v>
      </c>
      <c r="Q264" s="2">
        <f>2000000+2000000+500000</f>
        <v>4500000</v>
      </c>
      <c r="R264" s="3">
        <f>40000+10000</f>
        <v>50000</v>
      </c>
      <c r="S264" s="12"/>
      <c r="T264" s="26">
        <f t="shared" si="24"/>
        <v>0</v>
      </c>
      <c r="U264" s="26">
        <v>0</v>
      </c>
      <c r="V264" s="26"/>
      <c r="W264" s="22">
        <f t="shared" si="21"/>
        <v>0</v>
      </c>
      <c r="X264" s="11">
        <f t="shared" si="23"/>
        <v>45</v>
      </c>
    </row>
    <row r="265" spans="1:24" ht="18.75" x14ac:dyDescent="0.3">
      <c r="A265" s="1">
        <v>263</v>
      </c>
      <c r="B265" s="1" t="s">
        <v>257</v>
      </c>
      <c r="C265" s="12">
        <v>150000</v>
      </c>
      <c r="D265" s="12">
        <v>50000</v>
      </c>
      <c r="E265" s="12">
        <v>50000</v>
      </c>
      <c r="F265" s="12">
        <v>50000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>
        <f t="shared" si="22"/>
        <v>300000</v>
      </c>
      <c r="Q265" s="2">
        <v>100000</v>
      </c>
      <c r="R265" s="3">
        <v>50000</v>
      </c>
      <c r="S265" s="12">
        <v>150000</v>
      </c>
      <c r="T265" s="26">
        <f t="shared" si="24"/>
        <v>150000</v>
      </c>
      <c r="U265" s="26">
        <f>S265-150000</f>
        <v>0</v>
      </c>
      <c r="V265" s="26"/>
      <c r="W265" s="22">
        <f t="shared" si="21"/>
        <v>0</v>
      </c>
      <c r="X265" s="11">
        <f t="shared" si="23"/>
        <v>1</v>
      </c>
    </row>
    <row r="266" spans="1:24" ht="18.75" x14ac:dyDescent="0.3">
      <c r="A266" s="1">
        <v>264</v>
      </c>
      <c r="B266" s="1" t="s">
        <v>258</v>
      </c>
      <c r="C266" s="12">
        <v>5550000</v>
      </c>
      <c r="D266" s="12"/>
      <c r="E266" s="12"/>
      <c r="F266" s="12">
        <f>2500000+1000000</f>
        <v>3500000</v>
      </c>
      <c r="G266" s="12">
        <v>150000</v>
      </c>
      <c r="H266" s="12"/>
      <c r="I266" s="12"/>
      <c r="J266" s="12"/>
      <c r="K266" s="12"/>
      <c r="L266" s="12"/>
      <c r="M266" s="12"/>
      <c r="N266" s="12"/>
      <c r="O266" s="12"/>
      <c r="P266" s="12">
        <f t="shared" si="22"/>
        <v>9200000</v>
      </c>
      <c r="Q266" s="2">
        <f>1000000+4500000+2500000+1000000</f>
        <v>9000000</v>
      </c>
      <c r="R266" s="3">
        <v>50000</v>
      </c>
      <c r="S266" s="12">
        <v>150000</v>
      </c>
      <c r="T266" s="26">
        <f t="shared" si="24"/>
        <v>150000</v>
      </c>
      <c r="U266" s="26">
        <v>0</v>
      </c>
      <c r="V266" s="26"/>
      <c r="W266" s="22">
        <f t="shared" si="21"/>
        <v>0</v>
      </c>
      <c r="X266" s="11">
        <f t="shared" si="23"/>
        <v>90</v>
      </c>
    </row>
    <row r="267" spans="1:24" ht="18.75" x14ac:dyDescent="0.3">
      <c r="A267" s="1">
        <v>265</v>
      </c>
      <c r="B267" s="1" t="s">
        <v>259</v>
      </c>
      <c r="C267" s="12">
        <v>150000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>
        <f t="shared" si="22"/>
        <v>150000</v>
      </c>
      <c r="Q267" s="2">
        <v>100000</v>
      </c>
      <c r="R267" s="3">
        <v>50000</v>
      </c>
      <c r="S267" s="12"/>
      <c r="T267" s="26">
        <f t="shared" si="24"/>
        <v>0</v>
      </c>
      <c r="U267" s="26">
        <v>0</v>
      </c>
      <c r="V267" s="26"/>
      <c r="W267" s="22">
        <f t="shared" si="21"/>
        <v>0</v>
      </c>
      <c r="X267" s="11">
        <f t="shared" si="23"/>
        <v>1</v>
      </c>
    </row>
    <row r="268" spans="1:24" ht="18.75" x14ac:dyDescent="0.3">
      <c r="A268" s="1">
        <v>266</v>
      </c>
      <c r="B268" s="1" t="s">
        <v>260</v>
      </c>
      <c r="C268" s="12">
        <v>150000</v>
      </c>
      <c r="D268" s="12"/>
      <c r="E268" s="12">
        <v>1050000</v>
      </c>
      <c r="F268" s="12"/>
      <c r="G268" s="12">
        <v>1650000</v>
      </c>
      <c r="H268" s="12"/>
      <c r="I268" s="12"/>
      <c r="J268" s="12"/>
      <c r="K268" s="12"/>
      <c r="L268" s="12"/>
      <c r="M268" s="12"/>
      <c r="N268" s="12"/>
      <c r="O268" s="12"/>
      <c r="P268" s="12">
        <f t="shared" si="22"/>
        <v>2850000</v>
      </c>
      <c r="Q268" s="2">
        <f>100000+1000000+1500000</f>
        <v>2600000</v>
      </c>
      <c r="R268" s="3">
        <v>50000</v>
      </c>
      <c r="S268" s="12">
        <f>50000+150000</f>
        <v>200000</v>
      </c>
      <c r="T268" s="26">
        <f t="shared" si="24"/>
        <v>200000</v>
      </c>
      <c r="U268" s="26">
        <v>0</v>
      </c>
      <c r="V268" s="26"/>
      <c r="W268" s="22">
        <f t="shared" si="21"/>
        <v>0</v>
      </c>
      <c r="X268" s="11">
        <f t="shared" si="23"/>
        <v>26</v>
      </c>
    </row>
    <row r="269" spans="1:24" ht="18.75" x14ac:dyDescent="0.3">
      <c r="A269" s="1">
        <v>267</v>
      </c>
      <c r="B269" s="1" t="s">
        <v>261</v>
      </c>
      <c r="C269" s="12">
        <v>450000</v>
      </c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>
        <f t="shared" si="22"/>
        <v>450000</v>
      </c>
      <c r="Q269" s="2">
        <f>100000+300000</f>
        <v>400000</v>
      </c>
      <c r="R269" s="3">
        <v>50000</v>
      </c>
      <c r="S269" s="12"/>
      <c r="T269" s="26">
        <f t="shared" si="24"/>
        <v>0</v>
      </c>
      <c r="U269" s="26">
        <v>0</v>
      </c>
      <c r="V269" s="26"/>
      <c r="W269" s="22">
        <f t="shared" si="21"/>
        <v>0</v>
      </c>
      <c r="X269" s="11">
        <f t="shared" si="23"/>
        <v>4</v>
      </c>
    </row>
    <row r="270" spans="1:24" ht="18.75" x14ac:dyDescent="0.3">
      <c r="A270" s="1">
        <v>268</v>
      </c>
      <c r="B270" s="1" t="s">
        <v>262</v>
      </c>
      <c r="C270" s="12">
        <v>150000</v>
      </c>
      <c r="D270" s="12"/>
      <c r="E270" s="12"/>
      <c r="F270" s="12">
        <v>200000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>
        <f t="shared" si="22"/>
        <v>350000</v>
      </c>
      <c r="Q270" s="2">
        <v>100000</v>
      </c>
      <c r="R270" s="3">
        <v>50000</v>
      </c>
      <c r="S270" s="12">
        <v>200000</v>
      </c>
      <c r="T270" s="26">
        <f t="shared" si="24"/>
        <v>150000</v>
      </c>
      <c r="U270" s="26">
        <v>50000</v>
      </c>
      <c r="V270" s="26"/>
      <c r="W270" s="22">
        <f t="shared" si="21"/>
        <v>0</v>
      </c>
      <c r="X270" s="11">
        <f t="shared" si="23"/>
        <v>1</v>
      </c>
    </row>
    <row r="271" spans="1:24" ht="18.75" x14ac:dyDescent="0.3">
      <c r="A271" s="1">
        <v>269</v>
      </c>
      <c r="B271" s="1" t="s">
        <v>263</v>
      </c>
      <c r="C271" s="12">
        <v>150000</v>
      </c>
      <c r="D271" s="12"/>
      <c r="E271" s="12"/>
      <c r="F271" s="12">
        <v>200000</v>
      </c>
      <c r="G271" s="12"/>
      <c r="H271" s="12"/>
      <c r="I271" s="12">
        <v>50000</v>
      </c>
      <c r="J271" s="12"/>
      <c r="K271" s="12"/>
      <c r="L271" s="12"/>
      <c r="M271" s="12"/>
      <c r="N271" s="12"/>
      <c r="O271" s="12"/>
      <c r="P271" s="12">
        <f t="shared" si="22"/>
        <v>400000</v>
      </c>
      <c r="Q271" s="2">
        <v>100000</v>
      </c>
      <c r="R271" s="3">
        <v>50000</v>
      </c>
      <c r="S271" s="12">
        <f>200000+50000</f>
        <v>250000</v>
      </c>
      <c r="T271" s="26">
        <f t="shared" si="24"/>
        <v>250000</v>
      </c>
      <c r="U271" s="26">
        <v>0</v>
      </c>
      <c r="V271" s="26"/>
      <c r="W271" s="22">
        <f t="shared" si="21"/>
        <v>0</v>
      </c>
      <c r="X271" s="11">
        <f t="shared" si="23"/>
        <v>1</v>
      </c>
    </row>
    <row r="272" spans="1:24" ht="18.75" x14ac:dyDescent="0.3">
      <c r="A272" s="1">
        <v>270</v>
      </c>
      <c r="B272" s="1" t="s">
        <v>265</v>
      </c>
      <c r="C272" s="12">
        <v>1050000</v>
      </c>
      <c r="D272" s="12"/>
      <c r="E272" s="12">
        <v>50000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>
        <f t="shared" si="22"/>
        <v>1100000</v>
      </c>
      <c r="Q272" s="2">
        <v>1000000</v>
      </c>
      <c r="R272" s="3">
        <v>50000</v>
      </c>
      <c r="S272" s="12">
        <v>50000</v>
      </c>
      <c r="T272" s="26">
        <f t="shared" si="24"/>
        <v>50000</v>
      </c>
      <c r="U272" s="26">
        <v>0</v>
      </c>
      <c r="V272" s="26"/>
      <c r="W272" s="22">
        <f t="shared" si="21"/>
        <v>0</v>
      </c>
      <c r="X272" s="11">
        <f t="shared" si="23"/>
        <v>10</v>
      </c>
    </row>
    <row r="273" spans="1:24" ht="18.75" x14ac:dyDescent="0.3">
      <c r="A273" s="1">
        <v>271</v>
      </c>
      <c r="B273" s="1" t="s">
        <v>266</v>
      </c>
      <c r="C273" s="12">
        <v>300000</v>
      </c>
      <c r="D273" s="12"/>
      <c r="E273" s="12">
        <v>50000</v>
      </c>
      <c r="F273" s="12"/>
      <c r="G273" s="12">
        <v>50000</v>
      </c>
      <c r="H273" s="12">
        <f>50000+50000</f>
        <v>100000</v>
      </c>
      <c r="I273" s="12">
        <v>100000</v>
      </c>
      <c r="J273" s="12"/>
      <c r="K273" s="12"/>
      <c r="L273" s="12"/>
      <c r="M273" s="12"/>
      <c r="N273" s="12"/>
      <c r="O273" s="12"/>
      <c r="P273" s="12">
        <f t="shared" si="22"/>
        <v>600000</v>
      </c>
      <c r="Q273" s="2">
        <v>200000</v>
      </c>
      <c r="R273" s="3">
        <v>50000</v>
      </c>
      <c r="S273" s="12">
        <f>50000+50000+50000+50000+50000+100000</f>
        <v>350000</v>
      </c>
      <c r="T273" s="26">
        <f t="shared" si="24"/>
        <v>200000</v>
      </c>
      <c r="U273" s="26">
        <f>S273-200000</f>
        <v>150000</v>
      </c>
      <c r="V273" s="26"/>
      <c r="W273" s="22">
        <f t="shared" si="21"/>
        <v>0</v>
      </c>
      <c r="X273" s="11">
        <f t="shared" si="23"/>
        <v>2</v>
      </c>
    </row>
    <row r="274" spans="1:24" ht="18.75" x14ac:dyDescent="0.3">
      <c r="A274" s="1">
        <v>272</v>
      </c>
      <c r="B274" s="1" t="s">
        <v>267</v>
      </c>
      <c r="C274" s="12">
        <v>450000</v>
      </c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>
        <f t="shared" si="22"/>
        <v>450000</v>
      </c>
      <c r="Q274" s="2">
        <v>400000</v>
      </c>
      <c r="R274" s="3">
        <v>50000</v>
      </c>
      <c r="S274" s="12"/>
      <c r="T274" s="26">
        <f t="shared" si="24"/>
        <v>0</v>
      </c>
      <c r="U274" s="26">
        <v>0</v>
      </c>
      <c r="V274" s="26"/>
      <c r="W274" s="22">
        <f t="shared" si="21"/>
        <v>0</v>
      </c>
      <c r="X274" s="11">
        <f t="shared" si="23"/>
        <v>4</v>
      </c>
    </row>
    <row r="275" spans="1:24" ht="18.75" x14ac:dyDescent="0.3">
      <c r="A275" s="1">
        <v>273</v>
      </c>
      <c r="B275" s="1" t="s">
        <v>268</v>
      </c>
      <c r="C275" s="12">
        <v>150000</v>
      </c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>
        <f t="shared" si="22"/>
        <v>150000</v>
      </c>
      <c r="Q275" s="2">
        <v>100000</v>
      </c>
      <c r="R275" s="3">
        <v>50000</v>
      </c>
      <c r="S275" s="12"/>
      <c r="T275" s="26">
        <f t="shared" si="24"/>
        <v>0</v>
      </c>
      <c r="U275" s="26">
        <v>0</v>
      </c>
      <c r="V275" s="26"/>
      <c r="W275" s="22">
        <f t="shared" si="21"/>
        <v>0</v>
      </c>
      <c r="X275" s="11">
        <f t="shared" si="23"/>
        <v>1</v>
      </c>
    </row>
    <row r="276" spans="1:24" ht="18.75" x14ac:dyDescent="0.3">
      <c r="A276" s="1">
        <v>274</v>
      </c>
      <c r="B276" s="1" t="s">
        <v>269</v>
      </c>
      <c r="C276" s="12">
        <v>150000</v>
      </c>
      <c r="D276" s="12"/>
      <c r="E276" s="12"/>
      <c r="F276" s="12"/>
      <c r="G276" s="12">
        <v>100000</v>
      </c>
      <c r="H276" s="12"/>
      <c r="I276" s="12"/>
      <c r="J276" s="12"/>
      <c r="K276" s="12"/>
      <c r="L276" s="12"/>
      <c r="M276" s="12"/>
      <c r="N276" s="12"/>
      <c r="O276" s="12"/>
      <c r="P276" s="12">
        <f t="shared" si="22"/>
        <v>250000</v>
      </c>
      <c r="Q276" s="2">
        <v>100000</v>
      </c>
      <c r="R276" s="3">
        <v>50000</v>
      </c>
      <c r="S276" s="12">
        <v>100000</v>
      </c>
      <c r="T276" s="26">
        <f t="shared" si="24"/>
        <v>100000</v>
      </c>
      <c r="U276" s="26">
        <v>0</v>
      </c>
      <c r="V276" s="26"/>
      <c r="W276" s="22">
        <f t="shared" si="21"/>
        <v>0</v>
      </c>
      <c r="X276" s="11">
        <f t="shared" si="23"/>
        <v>1</v>
      </c>
    </row>
    <row r="277" spans="1:24" ht="18.75" x14ac:dyDescent="0.3">
      <c r="A277" s="1">
        <v>275</v>
      </c>
      <c r="B277" s="1" t="s">
        <v>384</v>
      </c>
      <c r="C277" s="12"/>
      <c r="D277" s="12"/>
      <c r="E277" s="12">
        <f>500000+50000</f>
        <v>550000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>
        <f t="shared" si="22"/>
        <v>550000</v>
      </c>
      <c r="Q277" s="2">
        <v>500000</v>
      </c>
      <c r="R277" s="3">
        <v>50000</v>
      </c>
      <c r="S277" s="12"/>
      <c r="T277" s="26">
        <f t="shared" si="24"/>
        <v>0</v>
      </c>
      <c r="U277" s="26">
        <v>0</v>
      </c>
      <c r="V277" s="26"/>
      <c r="W277" s="22">
        <f t="shared" si="21"/>
        <v>0</v>
      </c>
      <c r="X277" s="11">
        <f t="shared" si="23"/>
        <v>5</v>
      </c>
    </row>
    <row r="278" spans="1:24" ht="18.75" x14ac:dyDescent="0.3">
      <c r="A278" s="1">
        <v>276</v>
      </c>
      <c r="B278" s="1" t="s">
        <v>270</v>
      </c>
      <c r="C278" s="12">
        <v>9000000</v>
      </c>
      <c r="D278" s="12"/>
      <c r="E278" s="12"/>
      <c r="F278" s="12">
        <v>50000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>
        <f t="shared" si="22"/>
        <v>9050000</v>
      </c>
      <c r="Q278" s="2">
        <v>9000000</v>
      </c>
      <c r="R278" s="3">
        <v>50000</v>
      </c>
      <c r="S278" s="12"/>
      <c r="T278" s="26">
        <f t="shared" si="24"/>
        <v>0</v>
      </c>
      <c r="U278" s="26">
        <v>0</v>
      </c>
      <c r="V278" s="26"/>
      <c r="W278" s="22">
        <f t="shared" si="21"/>
        <v>0</v>
      </c>
      <c r="X278" s="11">
        <f t="shared" si="23"/>
        <v>90</v>
      </c>
    </row>
    <row r="279" spans="1:24" ht="18.75" x14ac:dyDescent="0.3">
      <c r="A279" s="1">
        <v>277</v>
      </c>
      <c r="B279" s="1" t="s">
        <v>271</v>
      </c>
      <c r="C279" s="12">
        <v>200000</v>
      </c>
      <c r="D279" s="12">
        <v>75000</v>
      </c>
      <c r="E279" s="12"/>
      <c r="F279" s="12">
        <v>60000</v>
      </c>
      <c r="G279" s="12">
        <f>70000+60000</f>
        <v>130000</v>
      </c>
      <c r="H279" s="12"/>
      <c r="I279" s="12"/>
      <c r="J279" s="12"/>
      <c r="K279" s="12"/>
      <c r="L279" s="12"/>
      <c r="M279" s="12"/>
      <c r="N279" s="12"/>
      <c r="O279" s="12"/>
      <c r="P279" s="12">
        <f t="shared" si="22"/>
        <v>465000</v>
      </c>
      <c r="Q279" s="2">
        <v>100000</v>
      </c>
      <c r="R279" s="3">
        <v>50000</v>
      </c>
      <c r="S279" s="12">
        <f>50000+75000+60000+70000+60000</f>
        <v>315000</v>
      </c>
      <c r="T279" s="26">
        <f t="shared" si="24"/>
        <v>200000</v>
      </c>
      <c r="U279" s="26">
        <f>S279-200000</f>
        <v>115000</v>
      </c>
      <c r="V279" s="26"/>
      <c r="W279" s="22">
        <f t="shared" si="21"/>
        <v>0</v>
      </c>
      <c r="X279" s="11">
        <f t="shared" si="23"/>
        <v>1</v>
      </c>
    </row>
    <row r="280" spans="1:24" ht="18.75" x14ac:dyDescent="0.3">
      <c r="A280" s="1">
        <v>278</v>
      </c>
      <c r="B280" s="1" t="s">
        <v>272</v>
      </c>
      <c r="C280" s="12">
        <v>150000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>
        <f t="shared" si="22"/>
        <v>150000</v>
      </c>
      <c r="Q280" s="2">
        <v>100000</v>
      </c>
      <c r="R280" s="3">
        <v>50000</v>
      </c>
      <c r="S280" s="12"/>
      <c r="T280" s="26">
        <f t="shared" si="24"/>
        <v>0</v>
      </c>
      <c r="U280" s="26">
        <v>0</v>
      </c>
      <c r="V280" s="26"/>
      <c r="W280" s="22">
        <f t="shared" si="21"/>
        <v>0</v>
      </c>
      <c r="X280" s="11">
        <f t="shared" si="23"/>
        <v>1</v>
      </c>
    </row>
    <row r="281" spans="1:24" ht="18.75" x14ac:dyDescent="0.3">
      <c r="A281" s="1">
        <v>279</v>
      </c>
      <c r="B281" s="1" t="s">
        <v>273</v>
      </c>
      <c r="C281" s="12">
        <v>450000</v>
      </c>
      <c r="D281" s="12"/>
      <c r="E281" s="12"/>
      <c r="F281" s="12"/>
      <c r="G281" s="12">
        <v>150000</v>
      </c>
      <c r="H281" s="12"/>
      <c r="I281" s="12"/>
      <c r="J281" s="12"/>
      <c r="K281" s="12"/>
      <c r="L281" s="12"/>
      <c r="M281" s="12"/>
      <c r="N281" s="12"/>
      <c r="O281" s="12"/>
      <c r="P281" s="12">
        <f t="shared" si="22"/>
        <v>600000</v>
      </c>
      <c r="Q281" s="2">
        <v>400000</v>
      </c>
      <c r="R281" s="3">
        <v>50000</v>
      </c>
      <c r="S281" s="12">
        <v>150000</v>
      </c>
      <c r="T281" s="26">
        <f t="shared" si="24"/>
        <v>150000</v>
      </c>
      <c r="U281" s="26">
        <v>0</v>
      </c>
      <c r="V281" s="26"/>
      <c r="W281" s="22">
        <f t="shared" si="21"/>
        <v>0</v>
      </c>
      <c r="X281" s="11">
        <f t="shared" si="23"/>
        <v>4</v>
      </c>
    </row>
    <row r="282" spans="1:24" ht="18.75" x14ac:dyDescent="0.3">
      <c r="A282" s="1">
        <v>280</v>
      </c>
      <c r="B282" s="4" t="s">
        <v>274</v>
      </c>
      <c r="C282" s="12">
        <v>600000</v>
      </c>
      <c r="D282" s="12">
        <v>55000</v>
      </c>
      <c r="E282" s="12"/>
      <c r="F282" s="12">
        <v>150000</v>
      </c>
      <c r="G282" s="12">
        <v>50000</v>
      </c>
      <c r="H282" s="12">
        <v>100000</v>
      </c>
      <c r="I282" s="12"/>
      <c r="J282" s="12"/>
      <c r="K282" s="12"/>
      <c r="L282" s="12"/>
      <c r="M282" s="12"/>
      <c r="N282" s="12"/>
      <c r="O282" s="12"/>
      <c r="P282" s="12">
        <f t="shared" si="22"/>
        <v>955000</v>
      </c>
      <c r="Q282" s="2">
        <f>200000+300000</f>
        <v>500000</v>
      </c>
      <c r="R282" s="3">
        <v>50000</v>
      </c>
      <c r="S282" s="12">
        <f>50000+55000+150000+50000+100000</f>
        <v>405000</v>
      </c>
      <c r="T282" s="26">
        <f t="shared" si="24"/>
        <v>250000</v>
      </c>
      <c r="U282" s="26">
        <f>S282-250000</f>
        <v>155000</v>
      </c>
      <c r="V282" s="26"/>
      <c r="W282" s="22">
        <f t="shared" ref="W282:W313" si="25">P282-(Q282+R282+S282)</f>
        <v>0</v>
      </c>
      <c r="X282" s="11">
        <f t="shared" si="23"/>
        <v>5</v>
      </c>
    </row>
    <row r="283" spans="1:24" s="132" customFormat="1" ht="18.75" x14ac:dyDescent="0.3">
      <c r="A283" s="126">
        <v>281</v>
      </c>
      <c r="B283" s="126" t="s">
        <v>275</v>
      </c>
      <c r="C283" s="113">
        <v>155000</v>
      </c>
      <c r="D283" s="113">
        <v>100000</v>
      </c>
      <c r="E283" s="113"/>
      <c r="F283" s="113"/>
      <c r="G283" s="113"/>
      <c r="H283" s="113">
        <v>50000</v>
      </c>
      <c r="I283" s="113"/>
      <c r="J283" s="113">
        <v>50000</v>
      </c>
      <c r="K283" s="113"/>
      <c r="L283" s="113"/>
      <c r="M283" s="113"/>
      <c r="N283" s="113"/>
      <c r="O283" s="113"/>
      <c r="P283" s="113">
        <f t="shared" si="22"/>
        <v>355000</v>
      </c>
      <c r="Q283" s="127">
        <v>100000</v>
      </c>
      <c r="R283" s="128">
        <v>50000</v>
      </c>
      <c r="S283" s="113">
        <f>5000+100000+50000+50000</f>
        <v>205000</v>
      </c>
      <c r="T283" s="129">
        <f t="shared" si="24"/>
        <v>50000</v>
      </c>
      <c r="U283" s="129">
        <f>S283-50000</f>
        <v>155000</v>
      </c>
      <c r="V283" s="129"/>
      <c r="W283" s="130">
        <f t="shared" si="25"/>
        <v>0</v>
      </c>
      <c r="X283" s="131">
        <f t="shared" si="23"/>
        <v>1</v>
      </c>
    </row>
    <row r="284" spans="1:24" ht="18.75" x14ac:dyDescent="0.3">
      <c r="A284" s="1">
        <v>282</v>
      </c>
      <c r="B284" s="1" t="s">
        <v>276</v>
      </c>
      <c r="C284" s="12">
        <v>4550000</v>
      </c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>
        <f t="shared" si="22"/>
        <v>4550000</v>
      </c>
      <c r="Q284" s="2">
        <f>3000000+1500000</f>
        <v>4500000</v>
      </c>
      <c r="R284" s="3">
        <v>50000</v>
      </c>
      <c r="S284" s="12"/>
      <c r="T284" s="26">
        <f t="shared" si="24"/>
        <v>0</v>
      </c>
      <c r="U284" s="26">
        <v>0</v>
      </c>
      <c r="V284" s="26"/>
      <c r="W284" s="22">
        <f t="shared" si="25"/>
        <v>0</v>
      </c>
      <c r="X284" s="11">
        <f t="shared" si="23"/>
        <v>45</v>
      </c>
    </row>
    <row r="285" spans="1:24" ht="18.75" x14ac:dyDescent="0.3">
      <c r="A285" s="1">
        <v>283</v>
      </c>
      <c r="B285" s="1" t="s">
        <v>277</v>
      </c>
      <c r="C285" s="12">
        <f>150000+100000</f>
        <v>250000</v>
      </c>
      <c r="D285" s="12"/>
      <c r="E285" s="12">
        <v>30000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>
        <f t="shared" si="22"/>
        <v>280000</v>
      </c>
      <c r="Q285" s="8">
        <v>100000</v>
      </c>
      <c r="R285" s="3">
        <v>50000</v>
      </c>
      <c r="S285" s="12">
        <f>100000+30000</f>
        <v>130000</v>
      </c>
      <c r="T285" s="26">
        <f t="shared" si="24"/>
        <v>50000</v>
      </c>
      <c r="U285" s="26">
        <f>S285-50000</f>
        <v>80000</v>
      </c>
      <c r="V285" s="26"/>
      <c r="W285" s="22">
        <f t="shared" si="25"/>
        <v>0</v>
      </c>
      <c r="X285" s="11">
        <f t="shared" si="23"/>
        <v>1</v>
      </c>
    </row>
    <row r="286" spans="1:24" ht="18.75" x14ac:dyDescent="0.3">
      <c r="A286" s="1">
        <v>284</v>
      </c>
      <c r="B286" s="1" t="s">
        <v>278</v>
      </c>
      <c r="C286" s="12">
        <v>600000</v>
      </c>
      <c r="D286" s="12"/>
      <c r="E286" s="12">
        <v>50000</v>
      </c>
      <c r="F286" s="12"/>
      <c r="G286" s="12">
        <v>50000</v>
      </c>
      <c r="H286" s="12">
        <v>50000</v>
      </c>
      <c r="I286" s="12"/>
      <c r="J286" s="12"/>
      <c r="K286" s="12"/>
      <c r="L286" s="12"/>
      <c r="M286" s="12"/>
      <c r="N286" s="12"/>
      <c r="O286" s="12"/>
      <c r="P286" s="12">
        <f t="shared" si="22"/>
        <v>750000</v>
      </c>
      <c r="Q286" s="2">
        <f>100000+400000</f>
        <v>500000</v>
      </c>
      <c r="R286" s="3">
        <v>50000</v>
      </c>
      <c r="S286" s="12">
        <f>50000+50000+50000+50000</f>
        <v>200000</v>
      </c>
      <c r="T286" s="26">
        <f t="shared" si="24"/>
        <v>200000</v>
      </c>
      <c r="U286" s="26">
        <f>S286-50000-150000</f>
        <v>0</v>
      </c>
      <c r="V286" s="26"/>
      <c r="W286" s="22">
        <f t="shared" si="25"/>
        <v>0</v>
      </c>
      <c r="X286" s="11">
        <f t="shared" si="23"/>
        <v>5</v>
      </c>
    </row>
    <row r="287" spans="1:24" ht="18.75" x14ac:dyDescent="0.3">
      <c r="A287" s="1">
        <v>285</v>
      </c>
      <c r="B287" s="1" t="s">
        <v>279</v>
      </c>
      <c r="C287" s="12">
        <v>205000</v>
      </c>
      <c r="D287" s="12"/>
      <c r="E287" s="12">
        <v>52000</v>
      </c>
      <c r="F287" s="12">
        <v>52000</v>
      </c>
      <c r="G287" s="12">
        <v>52000</v>
      </c>
      <c r="H287" s="12">
        <v>52000</v>
      </c>
      <c r="I287" s="12"/>
      <c r="J287" s="12"/>
      <c r="K287" s="12"/>
      <c r="L287" s="12"/>
      <c r="M287" s="12"/>
      <c r="N287" s="12"/>
      <c r="O287" s="12"/>
      <c r="P287" s="12">
        <f t="shared" si="22"/>
        <v>413000</v>
      </c>
      <c r="Q287" s="2">
        <v>100000</v>
      </c>
      <c r="R287" s="3">
        <v>50000</v>
      </c>
      <c r="S287" s="12">
        <f>3000+52000+52000+52000+52000+52000</f>
        <v>263000</v>
      </c>
      <c r="T287" s="26">
        <f t="shared" si="24"/>
        <v>200000</v>
      </c>
      <c r="U287" s="26">
        <f>S287-200000</f>
        <v>63000</v>
      </c>
      <c r="V287" s="26"/>
      <c r="W287" s="22">
        <f t="shared" si="25"/>
        <v>0</v>
      </c>
      <c r="X287" s="11">
        <f t="shared" si="23"/>
        <v>1</v>
      </c>
    </row>
    <row r="288" spans="1:24" ht="18.75" x14ac:dyDescent="0.3">
      <c r="A288" s="1">
        <v>286</v>
      </c>
      <c r="B288" s="1" t="s">
        <v>280</v>
      </c>
      <c r="C288" s="12">
        <v>5000000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>
        <f t="shared" si="22"/>
        <v>5000000</v>
      </c>
      <c r="Q288" s="2">
        <v>5000000</v>
      </c>
      <c r="R288" s="3">
        <v>0</v>
      </c>
      <c r="S288" s="12"/>
      <c r="T288" s="26">
        <f t="shared" si="24"/>
        <v>0</v>
      </c>
      <c r="U288" s="26">
        <v>0</v>
      </c>
      <c r="V288" s="26"/>
      <c r="W288" s="22">
        <f t="shared" si="25"/>
        <v>0</v>
      </c>
      <c r="X288" s="11">
        <f t="shared" si="23"/>
        <v>50</v>
      </c>
    </row>
    <row r="289" spans="1:24" ht="18.75" x14ac:dyDescent="0.3">
      <c r="A289" s="1">
        <v>287</v>
      </c>
      <c r="B289" s="1" t="s">
        <v>281</v>
      </c>
      <c r="C289" s="12">
        <v>4500000</v>
      </c>
      <c r="D289" s="12"/>
      <c r="E289" s="12">
        <f>50000+2000000</f>
        <v>2050000</v>
      </c>
      <c r="F289" s="12">
        <v>2500000</v>
      </c>
      <c r="G289" s="12">
        <v>600000</v>
      </c>
      <c r="H289" s="12"/>
      <c r="I289" s="12"/>
      <c r="J289" s="12"/>
      <c r="K289" s="12"/>
      <c r="L289" s="12"/>
      <c r="M289" s="12"/>
      <c r="N289" s="12"/>
      <c r="O289" s="12"/>
      <c r="P289" s="12">
        <f t="shared" si="22"/>
        <v>9650000</v>
      </c>
      <c r="Q289" s="2">
        <f>4500000+2000000+2500000</f>
        <v>9000000</v>
      </c>
      <c r="R289" s="3">
        <v>50000</v>
      </c>
      <c r="S289" s="12">
        <v>600000</v>
      </c>
      <c r="T289" s="26">
        <f t="shared" si="24"/>
        <v>600000</v>
      </c>
      <c r="U289" s="26">
        <v>0</v>
      </c>
      <c r="V289" s="26"/>
      <c r="W289" s="22">
        <f t="shared" si="25"/>
        <v>0</v>
      </c>
      <c r="X289" s="11">
        <f t="shared" si="23"/>
        <v>90</v>
      </c>
    </row>
    <row r="290" spans="1:24" ht="18.75" x14ac:dyDescent="0.3">
      <c r="A290" s="1">
        <v>288</v>
      </c>
      <c r="B290" s="1" t="s">
        <v>282</v>
      </c>
      <c r="C290" s="12">
        <v>2050000</v>
      </c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>
        <f t="shared" si="22"/>
        <v>2050000</v>
      </c>
      <c r="Q290" s="2">
        <v>2000000</v>
      </c>
      <c r="R290" s="3">
        <v>50000</v>
      </c>
      <c r="S290" s="12"/>
      <c r="T290" s="26">
        <f t="shared" si="24"/>
        <v>0</v>
      </c>
      <c r="U290" s="26">
        <v>0</v>
      </c>
      <c r="V290" s="26"/>
      <c r="W290" s="22">
        <f t="shared" si="25"/>
        <v>0</v>
      </c>
      <c r="X290" s="11">
        <f t="shared" si="23"/>
        <v>20</v>
      </c>
    </row>
    <row r="291" spans="1:24" ht="18.75" x14ac:dyDescent="0.3">
      <c r="A291" s="1">
        <v>289</v>
      </c>
      <c r="B291" s="1" t="s">
        <v>283</v>
      </c>
      <c r="C291" s="12">
        <v>150000</v>
      </c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>
        <f t="shared" si="22"/>
        <v>150000</v>
      </c>
      <c r="Q291" s="2">
        <v>100000</v>
      </c>
      <c r="R291" s="3">
        <v>50000</v>
      </c>
      <c r="S291" s="12"/>
      <c r="T291" s="26">
        <f t="shared" si="24"/>
        <v>0</v>
      </c>
      <c r="U291" s="26">
        <v>0</v>
      </c>
      <c r="V291" s="26"/>
      <c r="W291" s="22">
        <f t="shared" si="25"/>
        <v>0</v>
      </c>
      <c r="X291" s="11">
        <f t="shared" si="23"/>
        <v>1</v>
      </c>
    </row>
    <row r="292" spans="1:24" ht="18.75" x14ac:dyDescent="0.3">
      <c r="A292" s="1">
        <v>290</v>
      </c>
      <c r="B292" s="1" t="s">
        <v>284</v>
      </c>
      <c r="C292" s="12">
        <v>650000</v>
      </c>
      <c r="D292" s="12">
        <v>50000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>
        <f t="shared" si="22"/>
        <v>700000</v>
      </c>
      <c r="Q292" s="2">
        <f>200000+200000+200000</f>
        <v>600000</v>
      </c>
      <c r="R292" s="3">
        <v>50000</v>
      </c>
      <c r="S292" s="12">
        <v>50000</v>
      </c>
      <c r="T292" s="26">
        <f t="shared" ref="T292:T322" si="26">S292-U292</f>
        <v>50000</v>
      </c>
      <c r="U292" s="26">
        <v>0</v>
      </c>
      <c r="V292" s="26"/>
      <c r="W292" s="22">
        <f t="shared" si="25"/>
        <v>0</v>
      </c>
      <c r="X292" s="11">
        <f t="shared" si="23"/>
        <v>6</v>
      </c>
    </row>
    <row r="293" spans="1:24" ht="18.75" x14ac:dyDescent="0.3">
      <c r="A293" s="1">
        <v>291</v>
      </c>
      <c r="B293" s="4" t="s">
        <v>285</v>
      </c>
      <c r="C293" s="12">
        <v>150000</v>
      </c>
      <c r="D293" s="12"/>
      <c r="E293" s="12">
        <v>9000000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>
        <f t="shared" si="22"/>
        <v>9150000</v>
      </c>
      <c r="Q293" s="2">
        <f>100000+8900000</f>
        <v>9000000</v>
      </c>
      <c r="R293" s="3">
        <v>50000</v>
      </c>
      <c r="S293" s="12">
        <v>100000</v>
      </c>
      <c r="T293" s="26">
        <f t="shared" si="26"/>
        <v>100000</v>
      </c>
      <c r="U293" s="26">
        <v>0</v>
      </c>
      <c r="V293" s="26"/>
      <c r="W293" s="22">
        <f t="shared" si="25"/>
        <v>0</v>
      </c>
      <c r="X293" s="11">
        <f t="shared" si="23"/>
        <v>90</v>
      </c>
    </row>
    <row r="294" spans="1:24" ht="18.75" x14ac:dyDescent="0.3">
      <c r="A294" s="1">
        <v>292</v>
      </c>
      <c r="B294" s="1" t="s">
        <v>286</v>
      </c>
      <c r="C294" s="12">
        <v>150000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>
        <f t="shared" si="22"/>
        <v>150000</v>
      </c>
      <c r="Q294" s="2">
        <v>100000</v>
      </c>
      <c r="R294" s="3">
        <v>50000</v>
      </c>
      <c r="S294" s="12"/>
      <c r="T294" s="26">
        <f t="shared" si="26"/>
        <v>0</v>
      </c>
      <c r="U294" s="26">
        <v>0</v>
      </c>
      <c r="V294" s="26"/>
      <c r="W294" s="22">
        <f t="shared" si="25"/>
        <v>0</v>
      </c>
      <c r="X294" s="11">
        <f t="shared" si="23"/>
        <v>1</v>
      </c>
    </row>
    <row r="295" spans="1:24" ht="18.75" x14ac:dyDescent="0.3">
      <c r="A295" s="1">
        <v>293</v>
      </c>
      <c r="B295" s="1" t="s">
        <v>287</v>
      </c>
      <c r="C295" s="12">
        <v>340000</v>
      </c>
      <c r="D295" s="12"/>
      <c r="E295" s="12">
        <f>50000+20000+50000+50000</f>
        <v>170000</v>
      </c>
      <c r="F295" s="12">
        <f>60000+45000+30000+30000+30000</f>
        <v>195000</v>
      </c>
      <c r="G295" s="12">
        <f>20000+20000+50000+20000</f>
        <v>110000</v>
      </c>
      <c r="H295" s="12">
        <f>25000+30000+30000+50000</f>
        <v>135000</v>
      </c>
      <c r="I295" s="12">
        <f>30000+70000+25000+20000</f>
        <v>145000</v>
      </c>
      <c r="J295" s="12"/>
      <c r="K295" s="12"/>
      <c r="L295" s="12"/>
      <c r="M295" s="12"/>
      <c r="N295" s="12"/>
      <c r="O295" s="12"/>
      <c r="P295" s="12">
        <f t="shared" si="22"/>
        <v>1095000</v>
      </c>
      <c r="Q295" s="2">
        <f>100000+100000</f>
        <v>200000</v>
      </c>
      <c r="R295" s="3">
        <v>50000</v>
      </c>
      <c r="S295" s="12">
        <f>40000+50000+50000+20000+50000+50000+60000+45000+30000+30000+30000+20000+20000+50000+20000+25000+30000+30000+50000+30000+70000+25000+20000</f>
        <v>845000</v>
      </c>
      <c r="T295" s="26">
        <f>S295-U295</f>
        <v>250000</v>
      </c>
      <c r="U295" s="26">
        <f>S295-250000</f>
        <v>595000</v>
      </c>
      <c r="V295" s="26"/>
      <c r="W295" s="22">
        <f>P295-(Q295+R295+S295)</f>
        <v>0</v>
      </c>
      <c r="X295" s="11">
        <f t="shared" si="23"/>
        <v>2</v>
      </c>
    </row>
    <row r="296" spans="1:24" ht="18.75" x14ac:dyDescent="0.3">
      <c r="A296" s="1">
        <v>294</v>
      </c>
      <c r="B296" s="1" t="s">
        <v>288</v>
      </c>
      <c r="C296" s="12">
        <v>4500000</v>
      </c>
      <c r="D296" s="12"/>
      <c r="E296" s="12"/>
      <c r="F296" s="12">
        <v>1000000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>
        <f t="shared" si="22"/>
        <v>5500000</v>
      </c>
      <c r="Q296" s="2">
        <f>4500000+1000000</f>
        <v>5500000</v>
      </c>
      <c r="R296" s="3"/>
      <c r="S296" s="12"/>
      <c r="T296" s="26">
        <f t="shared" si="26"/>
        <v>0</v>
      </c>
      <c r="U296" s="26">
        <v>0</v>
      </c>
      <c r="V296" s="26"/>
      <c r="W296" s="22">
        <f t="shared" si="25"/>
        <v>0</v>
      </c>
      <c r="X296" s="11">
        <f t="shared" si="23"/>
        <v>55</v>
      </c>
    </row>
    <row r="297" spans="1:24" ht="18.75" x14ac:dyDescent="0.3">
      <c r="A297" s="1">
        <v>295</v>
      </c>
      <c r="B297" s="1" t="s">
        <v>289</v>
      </c>
      <c r="C297" s="12">
        <v>150000</v>
      </c>
      <c r="D297" s="12"/>
      <c r="E297" s="12"/>
      <c r="F297" s="12"/>
      <c r="G297" s="12"/>
      <c r="H297" s="12">
        <f>150000+50000</f>
        <v>200000</v>
      </c>
      <c r="I297" s="12">
        <v>100000</v>
      </c>
      <c r="J297" s="12"/>
      <c r="K297" s="12"/>
      <c r="L297" s="12"/>
      <c r="M297" s="12"/>
      <c r="N297" s="12"/>
      <c r="O297" s="12"/>
      <c r="P297" s="12">
        <f>SUM(C297:O297)</f>
        <v>450000</v>
      </c>
      <c r="Q297" s="2">
        <v>100000</v>
      </c>
      <c r="R297" s="3">
        <v>50000</v>
      </c>
      <c r="S297" s="12">
        <f>150000+50000+100000</f>
        <v>300000</v>
      </c>
      <c r="T297" s="26">
        <f t="shared" si="26"/>
        <v>300000</v>
      </c>
      <c r="U297" s="26">
        <v>0</v>
      </c>
      <c r="V297" s="26"/>
      <c r="W297" s="22">
        <f t="shared" si="25"/>
        <v>0</v>
      </c>
      <c r="X297" s="11">
        <f t="shared" si="23"/>
        <v>1</v>
      </c>
    </row>
    <row r="298" spans="1:24" ht="18.75" x14ac:dyDescent="0.3">
      <c r="A298" s="1">
        <v>296</v>
      </c>
      <c r="B298" s="1" t="s">
        <v>290</v>
      </c>
      <c r="C298" s="12">
        <v>550000</v>
      </c>
      <c r="D298" s="12"/>
      <c r="E298" s="12"/>
      <c r="F298" s="12">
        <v>150000</v>
      </c>
      <c r="G298" s="12">
        <v>100000</v>
      </c>
      <c r="H298" s="12"/>
      <c r="I298" s="12">
        <v>100000</v>
      </c>
      <c r="J298" s="12"/>
      <c r="K298" s="12"/>
      <c r="L298" s="12"/>
      <c r="M298" s="12"/>
      <c r="N298" s="12"/>
      <c r="O298" s="12"/>
      <c r="P298" s="12">
        <f t="shared" si="22"/>
        <v>900000</v>
      </c>
      <c r="Q298" s="2">
        <v>500000</v>
      </c>
      <c r="R298" s="3">
        <v>50000</v>
      </c>
      <c r="S298" s="12">
        <f>150000+100000+100000</f>
        <v>350000</v>
      </c>
      <c r="T298" s="26">
        <f t="shared" si="26"/>
        <v>300000</v>
      </c>
      <c r="U298" s="26">
        <v>50000</v>
      </c>
      <c r="V298" s="26"/>
      <c r="W298" s="22">
        <f t="shared" si="25"/>
        <v>0</v>
      </c>
      <c r="X298" s="11">
        <f t="shared" si="23"/>
        <v>5</v>
      </c>
    </row>
    <row r="299" spans="1:24" ht="18.75" x14ac:dyDescent="0.3">
      <c r="A299" s="1">
        <v>297</v>
      </c>
      <c r="B299" s="1" t="s">
        <v>291</v>
      </c>
      <c r="C299" s="12">
        <v>4850000</v>
      </c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>
        <f t="shared" si="22"/>
        <v>4850000</v>
      </c>
      <c r="Q299" s="2">
        <v>4800000</v>
      </c>
      <c r="R299" s="3">
        <v>50000</v>
      </c>
      <c r="S299" s="12"/>
      <c r="T299" s="26">
        <f t="shared" si="26"/>
        <v>0</v>
      </c>
      <c r="U299" s="26">
        <v>0</v>
      </c>
      <c r="V299" s="26"/>
      <c r="W299" s="22">
        <f t="shared" si="25"/>
        <v>0</v>
      </c>
      <c r="X299" s="11">
        <f t="shared" si="23"/>
        <v>48</v>
      </c>
    </row>
    <row r="300" spans="1:24" ht="18.75" x14ac:dyDescent="0.3">
      <c r="A300" s="1">
        <v>298</v>
      </c>
      <c r="B300" s="1" t="s">
        <v>292</v>
      </c>
      <c r="C300" s="12">
        <v>600000</v>
      </c>
      <c r="D300" s="12"/>
      <c r="E300" s="12">
        <v>50000</v>
      </c>
      <c r="F300" s="12">
        <v>100000</v>
      </c>
      <c r="G300" s="12">
        <v>100000</v>
      </c>
      <c r="H300" s="12">
        <v>100000</v>
      </c>
      <c r="I300" s="12"/>
      <c r="J300" s="12"/>
      <c r="K300" s="12"/>
      <c r="L300" s="12"/>
      <c r="M300" s="12"/>
      <c r="N300" s="12"/>
      <c r="O300" s="12"/>
      <c r="P300" s="12">
        <f t="shared" si="22"/>
        <v>950000</v>
      </c>
      <c r="Q300" s="2">
        <f>100000+400000</f>
        <v>500000</v>
      </c>
      <c r="R300" s="3">
        <v>50000</v>
      </c>
      <c r="S300" s="12">
        <f>50000+50000+100000+100000+100000</f>
        <v>400000</v>
      </c>
      <c r="T300" s="26">
        <f t="shared" si="26"/>
        <v>200000</v>
      </c>
      <c r="U300" s="26">
        <f>S300-200000</f>
        <v>200000</v>
      </c>
      <c r="V300" s="26"/>
      <c r="W300" s="22">
        <f t="shared" si="25"/>
        <v>0</v>
      </c>
      <c r="X300" s="11">
        <f t="shared" si="23"/>
        <v>5</v>
      </c>
    </row>
    <row r="301" spans="1:24" ht="18.75" x14ac:dyDescent="0.3">
      <c r="A301" s="1">
        <v>299</v>
      </c>
      <c r="B301" s="1" t="s">
        <v>293</v>
      </c>
      <c r="C301" s="12">
        <v>150000</v>
      </c>
      <c r="D301" s="12"/>
      <c r="E301" s="12"/>
      <c r="F301" s="12">
        <v>150000</v>
      </c>
      <c r="G301" s="12"/>
      <c r="H301" s="12">
        <v>50000</v>
      </c>
      <c r="I301" s="12"/>
      <c r="J301" s="12"/>
      <c r="K301" s="12"/>
      <c r="L301" s="12"/>
      <c r="M301" s="12"/>
      <c r="N301" s="12"/>
      <c r="O301" s="12"/>
      <c r="P301" s="12">
        <f t="shared" si="22"/>
        <v>350000</v>
      </c>
      <c r="Q301" s="2">
        <v>100000</v>
      </c>
      <c r="R301" s="3">
        <v>50000</v>
      </c>
      <c r="S301" s="12">
        <f>150000+50000</f>
        <v>200000</v>
      </c>
      <c r="T301" s="26">
        <f t="shared" si="26"/>
        <v>200000</v>
      </c>
      <c r="U301" s="26">
        <v>0</v>
      </c>
      <c r="V301" s="26"/>
      <c r="W301" s="22">
        <f t="shared" si="25"/>
        <v>0</v>
      </c>
      <c r="X301" s="11">
        <f t="shared" si="23"/>
        <v>1</v>
      </c>
    </row>
    <row r="302" spans="1:24" ht="18.75" x14ac:dyDescent="0.3">
      <c r="A302" s="1">
        <v>300</v>
      </c>
      <c r="B302" s="1" t="s">
        <v>294</v>
      </c>
      <c r="C302" s="12">
        <v>2100000</v>
      </c>
      <c r="D302" s="12"/>
      <c r="E302" s="12"/>
      <c r="F302" s="12"/>
      <c r="G302" s="12">
        <v>100000</v>
      </c>
      <c r="H302" s="12"/>
      <c r="I302" s="12"/>
      <c r="J302" s="12"/>
      <c r="K302" s="12"/>
      <c r="L302" s="12"/>
      <c r="M302" s="12"/>
      <c r="N302" s="12"/>
      <c r="O302" s="12"/>
      <c r="P302" s="12">
        <f t="shared" si="22"/>
        <v>2200000</v>
      </c>
      <c r="Q302" s="2">
        <f>400000+600000+1000000</f>
        <v>2000000</v>
      </c>
      <c r="R302" s="3">
        <v>50000</v>
      </c>
      <c r="S302" s="12">
        <f>50000+100000</f>
        <v>150000</v>
      </c>
      <c r="T302" s="26">
        <f>S302-U302</f>
        <v>150000</v>
      </c>
      <c r="U302" s="26">
        <f>S302-150000</f>
        <v>0</v>
      </c>
      <c r="V302" s="26"/>
      <c r="W302" s="22">
        <f t="shared" si="25"/>
        <v>0</v>
      </c>
      <c r="X302" s="11">
        <f t="shared" si="23"/>
        <v>20</v>
      </c>
    </row>
    <row r="303" spans="1:24" ht="18.75" x14ac:dyDescent="0.3">
      <c r="A303" s="1">
        <v>301</v>
      </c>
      <c r="B303" s="1" t="s">
        <v>295</v>
      </c>
      <c r="C303" s="12">
        <v>4650000</v>
      </c>
      <c r="D303" s="12">
        <v>100000</v>
      </c>
      <c r="E303" s="12">
        <v>100000</v>
      </c>
      <c r="F303" s="12">
        <v>4400000</v>
      </c>
      <c r="G303" s="12">
        <v>100000</v>
      </c>
      <c r="H303" s="12">
        <v>100000</v>
      </c>
      <c r="I303" s="12">
        <v>100000</v>
      </c>
      <c r="J303" s="12">
        <v>100000</v>
      </c>
      <c r="K303" s="12"/>
      <c r="L303" s="12"/>
      <c r="M303" s="12"/>
      <c r="N303" s="12"/>
      <c r="O303" s="12"/>
      <c r="P303" s="12">
        <f t="shared" si="22"/>
        <v>9650000</v>
      </c>
      <c r="Q303" s="2">
        <f>100000+4500000+4400000</f>
        <v>9000000</v>
      </c>
      <c r="R303" s="3">
        <v>50000</v>
      </c>
      <c r="S303" s="12">
        <f>100000+100000+100000+100000+100000+100000</f>
        <v>600000</v>
      </c>
      <c r="T303" s="26">
        <f t="shared" si="26"/>
        <v>250000</v>
      </c>
      <c r="U303" s="26">
        <f>S303-250000</f>
        <v>350000</v>
      </c>
      <c r="V303" s="26"/>
      <c r="W303" s="22">
        <f t="shared" si="25"/>
        <v>0</v>
      </c>
      <c r="X303" s="11">
        <f t="shared" si="23"/>
        <v>90</v>
      </c>
    </row>
    <row r="304" spans="1:24" s="163" customFormat="1" ht="18.75" x14ac:dyDescent="0.3">
      <c r="A304" s="156">
        <v>302</v>
      </c>
      <c r="B304" s="156" t="s">
        <v>296</v>
      </c>
      <c r="C304" s="157">
        <v>1063000</v>
      </c>
      <c r="D304" s="157">
        <v>150000</v>
      </c>
      <c r="E304" s="157"/>
      <c r="F304" s="157">
        <f>200000+200000</f>
        <v>400000</v>
      </c>
      <c r="G304" s="157">
        <f>200000+17000</f>
        <v>217000</v>
      </c>
      <c r="H304" s="157"/>
      <c r="I304" s="157">
        <v>200000</v>
      </c>
      <c r="J304" s="157">
        <v>200000</v>
      </c>
      <c r="K304" s="157"/>
      <c r="L304" s="157"/>
      <c r="M304" s="157"/>
      <c r="N304" s="157"/>
      <c r="O304" s="157"/>
      <c r="P304" s="157">
        <f t="shared" si="22"/>
        <v>2230000</v>
      </c>
      <c r="Q304" s="158">
        <v>1000000</v>
      </c>
      <c r="R304" s="159">
        <v>50000</v>
      </c>
      <c r="S304" s="157">
        <f>13000+150000+200000+200000+200000+17000+200000+200000</f>
        <v>1180000</v>
      </c>
      <c r="T304" s="160">
        <f t="shared" si="26"/>
        <v>200000</v>
      </c>
      <c r="U304" s="160">
        <f>S304-200000</f>
        <v>980000</v>
      </c>
      <c r="V304" s="160"/>
      <c r="W304" s="161">
        <f t="shared" si="25"/>
        <v>0</v>
      </c>
      <c r="X304" s="162">
        <f t="shared" si="23"/>
        <v>10</v>
      </c>
    </row>
    <row r="305" spans="1:24" ht="18.75" x14ac:dyDescent="0.3">
      <c r="A305" s="1">
        <v>303</v>
      </c>
      <c r="B305" s="1" t="s">
        <v>297</v>
      </c>
      <c r="C305" s="12">
        <v>50000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>
        <f t="shared" si="22"/>
        <v>50000</v>
      </c>
      <c r="Q305" s="2">
        <v>0</v>
      </c>
      <c r="R305" s="3">
        <v>50000</v>
      </c>
      <c r="S305" s="12"/>
      <c r="T305" s="26">
        <f t="shared" si="26"/>
        <v>0</v>
      </c>
      <c r="U305" s="26">
        <v>0</v>
      </c>
      <c r="V305" s="26"/>
      <c r="W305" s="22">
        <f t="shared" si="25"/>
        <v>0</v>
      </c>
      <c r="X305" s="11">
        <f t="shared" si="23"/>
        <v>0</v>
      </c>
    </row>
    <row r="306" spans="1:24" ht="18.75" x14ac:dyDescent="0.3">
      <c r="A306" s="1">
        <v>304</v>
      </c>
      <c r="B306" s="1" t="s">
        <v>298</v>
      </c>
      <c r="C306" s="12">
        <v>150000</v>
      </c>
      <c r="D306" s="12">
        <v>50000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>
        <f t="shared" si="22"/>
        <v>200000</v>
      </c>
      <c r="Q306" s="2">
        <v>100000</v>
      </c>
      <c r="R306" s="3">
        <v>50000</v>
      </c>
      <c r="S306" s="12">
        <v>50000</v>
      </c>
      <c r="T306" s="26">
        <f t="shared" si="26"/>
        <v>50000</v>
      </c>
      <c r="U306" s="26">
        <v>0</v>
      </c>
      <c r="V306" s="26"/>
      <c r="W306" s="22">
        <f t="shared" si="25"/>
        <v>0</v>
      </c>
      <c r="X306" s="11">
        <f t="shared" si="23"/>
        <v>1</v>
      </c>
    </row>
    <row r="307" spans="1:24" ht="18.75" x14ac:dyDescent="0.3">
      <c r="A307" s="1">
        <v>305</v>
      </c>
      <c r="B307" s="1" t="s">
        <v>299</v>
      </c>
      <c r="C307" s="12">
        <v>150000</v>
      </c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>
        <f t="shared" si="22"/>
        <v>150000</v>
      </c>
      <c r="Q307" s="2">
        <v>100000</v>
      </c>
      <c r="R307" s="3">
        <v>50000</v>
      </c>
      <c r="S307" s="12"/>
      <c r="T307" s="26">
        <f t="shared" si="26"/>
        <v>0</v>
      </c>
      <c r="U307" s="26">
        <v>0</v>
      </c>
      <c r="V307" s="26"/>
      <c r="W307" s="22">
        <f t="shared" si="25"/>
        <v>0</v>
      </c>
      <c r="X307" s="11">
        <f t="shared" si="23"/>
        <v>1</v>
      </c>
    </row>
    <row r="308" spans="1:24" s="182" customFormat="1" ht="18.75" x14ac:dyDescent="0.3">
      <c r="A308" s="175">
        <v>306</v>
      </c>
      <c r="B308" s="175" t="s">
        <v>300</v>
      </c>
      <c r="C308" s="176">
        <v>250000</v>
      </c>
      <c r="D308" s="176">
        <v>100000</v>
      </c>
      <c r="E308" s="176">
        <v>100000</v>
      </c>
      <c r="F308" s="176">
        <v>100000</v>
      </c>
      <c r="G308" s="176">
        <v>100000</v>
      </c>
      <c r="H308" s="176">
        <f>100000-300000</f>
        <v>-200000</v>
      </c>
      <c r="I308" s="176">
        <f>300000+100000</f>
        <v>400000</v>
      </c>
      <c r="J308" s="176">
        <v>1200000</v>
      </c>
      <c r="K308" s="176"/>
      <c r="L308" s="176"/>
      <c r="M308" s="176"/>
      <c r="N308" s="176"/>
      <c r="O308" s="176"/>
      <c r="P308" s="176">
        <f t="shared" si="22"/>
        <v>2050000</v>
      </c>
      <c r="Q308" s="177">
        <v>100000</v>
      </c>
      <c r="R308" s="178">
        <v>50000</v>
      </c>
      <c r="S308" s="176">
        <f>100000+500000-300000+300000+100000+1200000</f>
        <v>1900000</v>
      </c>
      <c r="T308" s="179">
        <f t="shared" si="26"/>
        <v>250000</v>
      </c>
      <c r="U308" s="179">
        <f>S308-50000-200000</f>
        <v>1650000</v>
      </c>
      <c r="V308" s="179">
        <v>300000</v>
      </c>
      <c r="W308" s="180">
        <f t="shared" si="25"/>
        <v>0</v>
      </c>
      <c r="X308" s="181">
        <f t="shared" si="23"/>
        <v>1</v>
      </c>
    </row>
    <row r="309" spans="1:24" ht="19.5" customHeight="1" x14ac:dyDescent="0.3">
      <c r="A309" s="1">
        <v>307</v>
      </c>
      <c r="B309" s="1" t="s">
        <v>301</v>
      </c>
      <c r="C309" s="12">
        <v>1150000</v>
      </c>
      <c r="D309" s="12"/>
      <c r="E309" s="12">
        <v>100000</v>
      </c>
      <c r="F309" s="12">
        <f>100000+2000</f>
        <v>102000</v>
      </c>
      <c r="G309" s="12">
        <v>100000</v>
      </c>
      <c r="H309" s="12">
        <v>100000</v>
      </c>
      <c r="I309" s="12">
        <v>100000</v>
      </c>
      <c r="J309" s="12"/>
      <c r="K309" s="12"/>
      <c r="L309" s="12"/>
      <c r="M309" s="12"/>
      <c r="N309" s="12"/>
      <c r="O309" s="12"/>
      <c r="P309" s="12">
        <f t="shared" si="22"/>
        <v>1652000</v>
      </c>
      <c r="Q309" s="2">
        <f>100000+900000</f>
        <v>1000000</v>
      </c>
      <c r="R309" s="3">
        <v>50000</v>
      </c>
      <c r="S309" s="12">
        <f>100000+100000+100000+2000+100000+100000+100000</f>
        <v>602000</v>
      </c>
      <c r="T309" s="26">
        <f t="shared" si="26"/>
        <v>200000</v>
      </c>
      <c r="U309" s="26">
        <f>S309-200000</f>
        <v>402000</v>
      </c>
      <c r="V309" s="26"/>
      <c r="W309" s="22">
        <f t="shared" si="25"/>
        <v>0</v>
      </c>
      <c r="X309" s="11">
        <f t="shared" si="23"/>
        <v>10</v>
      </c>
    </row>
    <row r="310" spans="1:24" ht="19.5" customHeight="1" x14ac:dyDescent="0.3">
      <c r="A310" s="1">
        <v>308</v>
      </c>
      <c r="B310" s="4" t="s">
        <v>302</v>
      </c>
      <c r="C310" s="12">
        <v>250000</v>
      </c>
      <c r="D310" s="12"/>
      <c r="E310" s="12">
        <v>100000</v>
      </c>
      <c r="F310" s="12">
        <v>200000</v>
      </c>
      <c r="G310" s="12">
        <v>100000</v>
      </c>
      <c r="H310" s="12"/>
      <c r="I310" s="12"/>
      <c r="J310" s="12"/>
      <c r="K310" s="12"/>
      <c r="L310" s="12"/>
      <c r="M310" s="12"/>
      <c r="N310" s="12"/>
      <c r="O310" s="12"/>
      <c r="P310" s="12">
        <f t="shared" si="22"/>
        <v>650000</v>
      </c>
      <c r="Q310" s="2">
        <v>200000</v>
      </c>
      <c r="R310" s="3">
        <v>50000</v>
      </c>
      <c r="S310" s="12">
        <f>100000+200000+100000</f>
        <v>400000</v>
      </c>
      <c r="T310" s="26">
        <f t="shared" si="26"/>
        <v>200000</v>
      </c>
      <c r="U310" s="26">
        <v>200000</v>
      </c>
      <c r="V310" s="26"/>
      <c r="W310" s="22">
        <f t="shared" si="25"/>
        <v>0</v>
      </c>
      <c r="X310" s="11">
        <f t="shared" si="23"/>
        <v>2</v>
      </c>
    </row>
    <row r="311" spans="1:24" ht="19.5" customHeight="1" x14ac:dyDescent="0.3">
      <c r="A311" s="1">
        <v>309</v>
      </c>
      <c r="B311" s="1" t="s">
        <v>303</v>
      </c>
      <c r="C311" s="12">
        <v>250000</v>
      </c>
      <c r="D311" s="12"/>
      <c r="E311" s="12"/>
      <c r="F311" s="12"/>
      <c r="G311" s="12">
        <v>150000</v>
      </c>
      <c r="H311" s="12"/>
      <c r="I311" s="12"/>
      <c r="J311" s="12"/>
      <c r="K311" s="12"/>
      <c r="L311" s="12"/>
      <c r="M311" s="12"/>
      <c r="N311" s="12"/>
      <c r="O311" s="12"/>
      <c r="P311" s="12">
        <f t="shared" si="22"/>
        <v>400000</v>
      </c>
      <c r="Q311" s="2">
        <v>200000</v>
      </c>
      <c r="R311" s="3">
        <v>50000</v>
      </c>
      <c r="S311" s="12">
        <v>150000</v>
      </c>
      <c r="T311" s="26">
        <f t="shared" si="26"/>
        <v>150000</v>
      </c>
      <c r="U311" s="26">
        <v>0</v>
      </c>
      <c r="V311" s="26"/>
      <c r="W311" s="22">
        <f t="shared" si="25"/>
        <v>0</v>
      </c>
      <c r="X311" s="11">
        <f t="shared" si="23"/>
        <v>2</v>
      </c>
    </row>
    <row r="312" spans="1:24" ht="19.5" customHeight="1" x14ac:dyDescent="0.3">
      <c r="A312" s="1">
        <v>310</v>
      </c>
      <c r="B312" s="1" t="s">
        <v>304</v>
      </c>
      <c r="C312" s="12">
        <v>550000</v>
      </c>
      <c r="D312" s="12"/>
      <c r="E312" s="12">
        <v>100000</v>
      </c>
      <c r="F312" s="12"/>
      <c r="G312" s="12">
        <v>100000</v>
      </c>
      <c r="H312" s="12">
        <v>100000</v>
      </c>
      <c r="I312" s="12"/>
      <c r="J312" s="12"/>
      <c r="K312" s="12"/>
      <c r="L312" s="12"/>
      <c r="M312" s="12"/>
      <c r="N312" s="12"/>
      <c r="O312" s="12"/>
      <c r="P312" s="12">
        <f t="shared" si="22"/>
        <v>850000</v>
      </c>
      <c r="Q312" s="2">
        <f>100000+400000</f>
        <v>500000</v>
      </c>
      <c r="R312" s="3">
        <v>50000</v>
      </c>
      <c r="S312" s="12">
        <f>100000+100000+100000</f>
        <v>300000</v>
      </c>
      <c r="T312" s="26">
        <f t="shared" si="26"/>
        <v>300000</v>
      </c>
      <c r="U312" s="26">
        <v>0</v>
      </c>
      <c r="V312" s="26"/>
      <c r="W312" s="22">
        <f t="shared" si="25"/>
        <v>0</v>
      </c>
      <c r="X312" s="11">
        <f t="shared" si="23"/>
        <v>5</v>
      </c>
    </row>
    <row r="313" spans="1:24" ht="18.75" x14ac:dyDescent="0.3">
      <c r="A313" s="1">
        <v>311</v>
      </c>
      <c r="B313" s="1" t="s">
        <v>305</v>
      </c>
      <c r="C313" s="12">
        <v>4550000</v>
      </c>
      <c r="D313" s="12">
        <v>50000</v>
      </c>
      <c r="E313" s="12"/>
      <c r="F313" s="12">
        <v>4550000</v>
      </c>
      <c r="G313" s="12">
        <v>100000</v>
      </c>
      <c r="H313" s="12"/>
      <c r="I313" s="12">
        <v>100000</v>
      </c>
      <c r="J313" s="12"/>
      <c r="K313" s="12"/>
      <c r="L313" s="12"/>
      <c r="M313" s="12"/>
      <c r="N313" s="12"/>
      <c r="O313" s="12"/>
      <c r="P313" s="12">
        <f t="shared" si="22"/>
        <v>9350000</v>
      </c>
      <c r="Q313" s="2">
        <f>4500000+4500000</f>
        <v>9000000</v>
      </c>
      <c r="R313" s="3">
        <v>50000</v>
      </c>
      <c r="S313" s="12">
        <f>50000+50000+100000+100000</f>
        <v>300000</v>
      </c>
      <c r="T313" s="26">
        <f t="shared" si="26"/>
        <v>300000</v>
      </c>
      <c r="U313" s="26">
        <v>0</v>
      </c>
      <c r="V313" s="26"/>
      <c r="W313" s="22">
        <f t="shared" si="25"/>
        <v>0</v>
      </c>
      <c r="X313" s="11">
        <f t="shared" si="23"/>
        <v>90</v>
      </c>
    </row>
    <row r="314" spans="1:24" ht="18.75" x14ac:dyDescent="0.3">
      <c r="A314" s="1">
        <v>312</v>
      </c>
      <c r="B314" s="1" t="s">
        <v>306</v>
      </c>
      <c r="C314" s="12">
        <v>150000</v>
      </c>
      <c r="D314" s="12"/>
      <c r="E314" s="12">
        <v>300000</v>
      </c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>
        <f t="shared" si="22"/>
        <v>450000</v>
      </c>
      <c r="Q314" s="2">
        <v>100000</v>
      </c>
      <c r="R314" s="3">
        <v>50000</v>
      </c>
      <c r="S314" s="12">
        <v>300000</v>
      </c>
      <c r="T314" s="26">
        <f t="shared" si="26"/>
        <v>100000</v>
      </c>
      <c r="U314" s="26">
        <v>200000</v>
      </c>
      <c r="V314" s="26"/>
      <c r="W314" s="22">
        <f t="shared" ref="W314:W322" si="27">P314-(Q314+R314+S314)</f>
        <v>0</v>
      </c>
      <c r="X314" s="11">
        <f t="shared" si="23"/>
        <v>1</v>
      </c>
    </row>
    <row r="315" spans="1:24" ht="18.75" x14ac:dyDescent="0.3">
      <c r="A315" s="1">
        <v>313</v>
      </c>
      <c r="B315" s="1" t="s">
        <v>307</v>
      </c>
      <c r="C315" s="12">
        <v>5550000</v>
      </c>
      <c r="D315" s="12"/>
      <c r="E315" s="12">
        <v>100000</v>
      </c>
      <c r="F315" s="12">
        <v>3500000</v>
      </c>
      <c r="G315" s="12"/>
      <c r="H315" s="12">
        <v>150000</v>
      </c>
      <c r="I315" s="12"/>
      <c r="J315" s="12"/>
      <c r="K315" s="12"/>
      <c r="L315" s="12"/>
      <c r="M315" s="12"/>
      <c r="N315" s="12"/>
      <c r="O315" s="12"/>
      <c r="P315" s="12">
        <f t="shared" si="22"/>
        <v>9300000</v>
      </c>
      <c r="Q315" s="2">
        <f>5500000+3500000</f>
        <v>9000000</v>
      </c>
      <c r="R315" s="3">
        <v>50000</v>
      </c>
      <c r="S315" s="12">
        <f>100000+150000</f>
        <v>250000</v>
      </c>
      <c r="T315" s="26">
        <f t="shared" si="26"/>
        <v>250000</v>
      </c>
      <c r="U315" s="26">
        <v>0</v>
      </c>
      <c r="V315" s="26"/>
      <c r="W315" s="22">
        <f t="shared" si="27"/>
        <v>0</v>
      </c>
      <c r="X315" s="11">
        <f t="shared" si="23"/>
        <v>90</v>
      </c>
    </row>
    <row r="316" spans="1:24" ht="18.75" x14ac:dyDescent="0.3">
      <c r="A316" s="1">
        <v>314</v>
      </c>
      <c r="B316" s="1" t="s">
        <v>308</v>
      </c>
      <c r="C316" s="12">
        <v>350000</v>
      </c>
      <c r="D316" s="12"/>
      <c r="E316" s="12">
        <f>50000+50000</f>
        <v>100000</v>
      </c>
      <c r="F316" s="12"/>
      <c r="G316" s="12">
        <v>100000</v>
      </c>
      <c r="H316" s="12">
        <v>100000</v>
      </c>
      <c r="I316" s="12">
        <v>100000</v>
      </c>
      <c r="J316" s="12"/>
      <c r="K316" s="12"/>
      <c r="L316" s="12"/>
      <c r="M316" s="12"/>
      <c r="N316" s="12"/>
      <c r="O316" s="12"/>
      <c r="P316" s="12">
        <f t="shared" si="22"/>
        <v>750000</v>
      </c>
      <c r="Q316" s="2">
        <v>200000</v>
      </c>
      <c r="R316" s="3">
        <v>50000</v>
      </c>
      <c r="S316" s="12">
        <f>100000+50000+50000+100000+100000+100000</f>
        <v>500000</v>
      </c>
      <c r="T316" s="26">
        <f t="shared" si="26"/>
        <v>250000</v>
      </c>
      <c r="U316" s="26">
        <f>S316-250000</f>
        <v>250000</v>
      </c>
      <c r="V316" s="26"/>
      <c r="W316" s="22">
        <f t="shared" si="27"/>
        <v>0</v>
      </c>
      <c r="X316" s="11">
        <f t="shared" si="23"/>
        <v>2</v>
      </c>
    </row>
    <row r="317" spans="1:24" ht="18.75" x14ac:dyDescent="0.3">
      <c r="A317" s="1">
        <v>315</v>
      </c>
      <c r="B317" s="1" t="s">
        <v>309</v>
      </c>
      <c r="C317" s="12">
        <v>4550000</v>
      </c>
      <c r="D317" s="12"/>
      <c r="E317" s="12">
        <v>4500000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>
        <f t="shared" si="22"/>
        <v>9050000</v>
      </c>
      <c r="Q317" s="2">
        <f>4500000+4500000</f>
        <v>9000000</v>
      </c>
      <c r="R317" s="3">
        <v>50000</v>
      </c>
      <c r="S317" s="12"/>
      <c r="T317" s="26">
        <f t="shared" si="26"/>
        <v>0</v>
      </c>
      <c r="U317" s="26">
        <v>0</v>
      </c>
      <c r="V317" s="26"/>
      <c r="W317" s="22">
        <f t="shared" si="27"/>
        <v>0</v>
      </c>
      <c r="X317" s="11">
        <f t="shared" si="23"/>
        <v>90</v>
      </c>
    </row>
    <row r="318" spans="1:24" ht="18.75" x14ac:dyDescent="0.3">
      <c r="A318" s="1">
        <v>316</v>
      </c>
      <c r="B318" s="1" t="s">
        <v>310</v>
      </c>
      <c r="C318" s="12">
        <v>9000000</v>
      </c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>
        <f t="shared" si="22"/>
        <v>9000000</v>
      </c>
      <c r="Q318" s="2">
        <f>4000000+5000000</f>
        <v>9000000</v>
      </c>
      <c r="R318" s="3">
        <v>0</v>
      </c>
      <c r="S318" s="12"/>
      <c r="T318" s="26">
        <f t="shared" si="26"/>
        <v>0</v>
      </c>
      <c r="U318" s="26">
        <v>0</v>
      </c>
      <c r="V318" s="26"/>
      <c r="W318" s="22">
        <f t="shared" si="27"/>
        <v>0</v>
      </c>
      <c r="X318" s="11">
        <f t="shared" si="23"/>
        <v>90</v>
      </c>
    </row>
    <row r="319" spans="1:24" ht="18.75" x14ac:dyDescent="0.3">
      <c r="A319" s="1">
        <v>317</v>
      </c>
      <c r="B319" s="1" t="s">
        <v>311</v>
      </c>
      <c r="C319" s="12">
        <v>4550000</v>
      </c>
      <c r="D319" s="12"/>
      <c r="E319" s="12"/>
      <c r="F319" s="12">
        <f>100000+100000+100000+100000+2000000</f>
        <v>2400000</v>
      </c>
      <c r="G319" s="12"/>
      <c r="H319" s="12"/>
      <c r="I319" s="12">
        <v>100000</v>
      </c>
      <c r="J319" s="12"/>
      <c r="K319" s="12"/>
      <c r="L319" s="12"/>
      <c r="M319" s="12"/>
      <c r="N319" s="12"/>
      <c r="O319" s="12"/>
      <c r="P319" s="12">
        <f t="shared" si="22"/>
        <v>7050000</v>
      </c>
      <c r="Q319" s="8">
        <f>4500000+2000000</f>
        <v>6500000</v>
      </c>
      <c r="R319" s="6">
        <v>50000</v>
      </c>
      <c r="S319" s="12">
        <f>100000+100000+100000+100000+100000</f>
        <v>500000</v>
      </c>
      <c r="T319" s="26">
        <f t="shared" si="26"/>
        <v>250000</v>
      </c>
      <c r="U319" s="26">
        <v>250000</v>
      </c>
      <c r="V319" s="26"/>
      <c r="W319" s="22">
        <f t="shared" si="27"/>
        <v>0</v>
      </c>
      <c r="X319" s="11">
        <f t="shared" si="23"/>
        <v>65</v>
      </c>
    </row>
    <row r="320" spans="1:24" ht="18.75" x14ac:dyDescent="0.3">
      <c r="A320" s="1">
        <v>318</v>
      </c>
      <c r="B320" s="1" t="s">
        <v>312</v>
      </c>
      <c r="C320" s="12">
        <v>150000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>
        <f t="shared" si="22"/>
        <v>150000</v>
      </c>
      <c r="Q320" s="2">
        <v>100000</v>
      </c>
      <c r="R320" s="3">
        <v>50000</v>
      </c>
      <c r="S320" s="12"/>
      <c r="T320" s="26">
        <f t="shared" si="26"/>
        <v>0</v>
      </c>
      <c r="U320" s="26">
        <v>0</v>
      </c>
      <c r="V320" s="26"/>
      <c r="W320" s="22">
        <f t="shared" si="27"/>
        <v>0</v>
      </c>
      <c r="X320" s="11">
        <f t="shared" si="23"/>
        <v>1</v>
      </c>
    </row>
    <row r="321" spans="1:24" ht="18.75" x14ac:dyDescent="0.3">
      <c r="A321" s="1">
        <v>319</v>
      </c>
      <c r="B321" s="1" t="s">
        <v>313</v>
      </c>
      <c r="C321" s="12">
        <v>5150000</v>
      </c>
      <c r="D321" s="12"/>
      <c r="E321" s="12"/>
      <c r="F321" s="12">
        <v>4500000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>
        <f>SUM(C321:O321)</f>
        <v>9650000</v>
      </c>
      <c r="Q321" s="2">
        <f>4500000+4500000</f>
        <v>9000000</v>
      </c>
      <c r="R321" s="3">
        <v>50000</v>
      </c>
      <c r="S321" s="12">
        <v>600000</v>
      </c>
      <c r="T321" s="26">
        <f t="shared" si="26"/>
        <v>50000</v>
      </c>
      <c r="U321" s="26">
        <f>S321-50000</f>
        <v>550000</v>
      </c>
      <c r="V321" s="26"/>
      <c r="W321" s="22">
        <f t="shared" si="27"/>
        <v>0</v>
      </c>
      <c r="X321" s="11">
        <f t="shared" si="23"/>
        <v>90</v>
      </c>
    </row>
    <row r="322" spans="1:24" ht="18.75" x14ac:dyDescent="0.3">
      <c r="A322" s="1">
        <v>320</v>
      </c>
      <c r="B322" s="1" t="s">
        <v>314</v>
      </c>
      <c r="C322" s="12">
        <v>150000</v>
      </c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>
        <f t="shared" si="22"/>
        <v>150000</v>
      </c>
      <c r="Q322" s="2">
        <v>100000</v>
      </c>
      <c r="R322" s="3">
        <v>50000</v>
      </c>
      <c r="S322" s="12"/>
      <c r="T322" s="26">
        <f t="shared" si="26"/>
        <v>0</v>
      </c>
      <c r="U322" s="26">
        <v>0</v>
      </c>
      <c r="V322" s="26"/>
      <c r="W322" s="22">
        <f t="shared" si="27"/>
        <v>0</v>
      </c>
      <c r="X322" s="11">
        <f t="shared" si="23"/>
        <v>1</v>
      </c>
    </row>
    <row r="323" spans="1:24" ht="18.75" x14ac:dyDescent="0.3">
      <c r="A323" s="1">
        <v>321</v>
      </c>
      <c r="B323" s="1" t="s">
        <v>467</v>
      </c>
      <c r="C323" s="12"/>
      <c r="D323" s="12"/>
      <c r="E323" s="12"/>
      <c r="F323" s="12">
        <v>9050000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2">
        <v>9000000</v>
      </c>
      <c r="R323" s="3">
        <v>50000</v>
      </c>
      <c r="S323" s="12"/>
      <c r="T323" s="26"/>
      <c r="U323" s="26"/>
      <c r="V323" s="26"/>
      <c r="W323" s="22"/>
      <c r="X323" s="11">
        <f t="shared" si="23"/>
        <v>90</v>
      </c>
    </row>
    <row r="324" spans="1:24" ht="18.75" x14ac:dyDescent="0.3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2"/>
      <c r="R324" s="3"/>
      <c r="S324" s="12"/>
      <c r="T324" s="26"/>
      <c r="U324" s="26"/>
      <c r="V324" s="26"/>
      <c r="W324" s="22"/>
      <c r="X324" s="11"/>
    </row>
    <row r="325" spans="1:24" ht="18.75" x14ac:dyDescent="0.3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>
        <f t="shared" ref="P325:W325" si="28">SUM(P3:P323)</f>
        <v>688915500</v>
      </c>
      <c r="Q325" s="12">
        <f t="shared" si="28"/>
        <v>560600000</v>
      </c>
      <c r="R325" s="12">
        <f t="shared" si="28"/>
        <v>15500000</v>
      </c>
      <c r="S325" s="12">
        <f>SUM(S3:S323)</f>
        <v>121865500</v>
      </c>
      <c r="T325" s="12">
        <f t="shared" si="28"/>
        <v>54053000</v>
      </c>
      <c r="U325" s="12">
        <f t="shared" si="28"/>
        <v>67812500</v>
      </c>
      <c r="V325" s="12">
        <f t="shared" si="28"/>
        <v>18300000</v>
      </c>
      <c r="W325" s="12">
        <f t="shared" si="28"/>
        <v>0</v>
      </c>
      <c r="X325" s="12">
        <f>SUM(X3:X323)</f>
        <v>5606</v>
      </c>
    </row>
    <row r="326" spans="1:24" ht="18.75" x14ac:dyDescent="0.3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8"/>
      <c r="R326" s="59"/>
      <c r="S326" s="26"/>
      <c r="T326" s="26"/>
      <c r="U326" s="26"/>
      <c r="V326" s="26"/>
    </row>
    <row r="327" spans="1:24" x14ac:dyDescent="0.25">
      <c r="R327" s="22">
        <f>Q325+R325+S325</f>
        <v>697965500</v>
      </c>
      <c r="S327" s="60">
        <f>R327+'JUNE MEMBERSHIP'!P200</f>
        <v>779926100</v>
      </c>
    </row>
    <row r="328" spans="1:24" ht="18.75" x14ac:dyDescent="0.3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8"/>
      <c r="R328" s="59"/>
      <c r="S328" s="26"/>
      <c r="T328" s="26"/>
      <c r="U328" s="26"/>
      <c r="V328" s="26"/>
    </row>
    <row r="329" spans="1:24" ht="18.75" x14ac:dyDescent="0.3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8"/>
      <c r="R329" s="59"/>
      <c r="S329" s="26">
        <f>P325</f>
        <v>688915500</v>
      </c>
      <c r="T329" s="26"/>
      <c r="U329" s="26"/>
      <c r="V329" s="26"/>
    </row>
    <row r="330" spans="1:24" ht="21" x14ac:dyDescent="0.35">
      <c r="A330" s="1"/>
      <c r="B330" s="61" t="s">
        <v>450</v>
      </c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3"/>
      <c r="R330" s="64"/>
      <c r="S330" s="64"/>
      <c r="T330" s="26"/>
      <c r="U330" s="26"/>
      <c r="V330" s="26"/>
    </row>
    <row r="331" spans="1:24" ht="21" x14ac:dyDescent="0.35">
      <c r="A331" s="1"/>
      <c r="B331" s="61" t="s">
        <v>451</v>
      </c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3"/>
      <c r="R331" s="65"/>
      <c r="S331" s="64">
        <v>-18000000</v>
      </c>
      <c r="T331" s="26"/>
      <c r="U331" s="26"/>
      <c r="V331" s="26"/>
    </row>
    <row r="332" spans="1:24" ht="21" x14ac:dyDescent="0.35">
      <c r="A332" s="1"/>
      <c r="B332" s="61" t="s">
        <v>452</v>
      </c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3"/>
      <c r="R332" s="65"/>
      <c r="S332" s="64">
        <v>-12450000</v>
      </c>
      <c r="T332" s="26"/>
      <c r="U332" s="26"/>
      <c r="V332" s="26"/>
    </row>
    <row r="333" spans="1:24" ht="21" x14ac:dyDescent="0.35">
      <c r="B333" s="61" t="s">
        <v>453</v>
      </c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1"/>
      <c r="R333" s="61"/>
      <c r="S333" s="62">
        <v>-1713000</v>
      </c>
    </row>
    <row r="334" spans="1:24" ht="21" x14ac:dyDescent="0.35">
      <c r="B334" s="61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1"/>
      <c r="R334" s="61"/>
      <c r="S334" s="62">
        <f>SUM(S329:S333)</f>
        <v>656752500</v>
      </c>
    </row>
    <row r="335" spans="1:24" ht="21.75" customHeight="1" x14ac:dyDescent="0.35">
      <c r="B335" s="56" t="s">
        <v>457</v>
      </c>
      <c r="Q335" s="60"/>
      <c r="S335" s="62">
        <f>'JUNE MEMBERSHIP'!O196</f>
        <v>164071200</v>
      </c>
    </row>
    <row r="336" spans="1:24" s="61" customFormat="1" ht="21.75" thickBot="1" x14ac:dyDescent="0.4">
      <c r="B336" s="61" t="s">
        <v>458</v>
      </c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S336" s="69">
        <f>S334+S335</f>
        <v>820823700</v>
      </c>
      <c r="T336" s="62"/>
      <c r="U336" s="62"/>
      <c r="V336" s="62"/>
    </row>
    <row r="337" spans="2:22" ht="15.75" thickTop="1" x14ac:dyDescent="0.25">
      <c r="Q337" s="60"/>
      <c r="S337" s="68"/>
    </row>
    <row r="338" spans="2:22" s="1" customFormat="1" ht="18.75" x14ac:dyDescent="0.3">
      <c r="B338" s="1" t="s">
        <v>455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66"/>
      <c r="S338" s="12">
        <v>351921120</v>
      </c>
      <c r="T338" s="12"/>
      <c r="U338" s="12"/>
      <c r="V338" s="12"/>
    </row>
    <row r="339" spans="2:22" s="1" customFormat="1" ht="18.75" x14ac:dyDescent="0.3">
      <c r="B339" s="1" t="s">
        <v>456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6"/>
      <c r="S339" s="12">
        <v>150660777</v>
      </c>
      <c r="T339" s="12"/>
      <c r="U339" s="12"/>
      <c r="V339" s="12"/>
    </row>
    <row r="340" spans="2:22" ht="18.75" x14ac:dyDescent="0.3">
      <c r="B340" s="56" t="s">
        <v>459</v>
      </c>
      <c r="S340" s="12">
        <v>2100000</v>
      </c>
    </row>
    <row r="341" spans="2:22" ht="18.75" x14ac:dyDescent="0.3">
      <c r="B341" s="56" t="s">
        <v>459</v>
      </c>
      <c r="S341" s="12">
        <v>610000</v>
      </c>
    </row>
    <row r="342" spans="2:22" ht="18.75" x14ac:dyDescent="0.3">
      <c r="B342" s="56" t="s">
        <v>355</v>
      </c>
      <c r="S342" s="12">
        <v>50000</v>
      </c>
    </row>
    <row r="343" spans="2:22" ht="18.75" x14ac:dyDescent="0.3">
      <c r="B343" s="56" t="s">
        <v>355</v>
      </c>
      <c r="S343" s="12">
        <v>350000</v>
      </c>
    </row>
    <row r="344" spans="2:22" ht="18.75" x14ac:dyDescent="0.3">
      <c r="B344" s="56" t="s">
        <v>454</v>
      </c>
      <c r="S344" s="12">
        <v>50000</v>
      </c>
    </row>
    <row r="345" spans="2:22" ht="18.75" x14ac:dyDescent="0.3">
      <c r="B345" s="56" t="s">
        <v>355</v>
      </c>
      <c r="S345" s="12">
        <v>150000</v>
      </c>
    </row>
    <row r="346" spans="2:22" ht="18.75" x14ac:dyDescent="0.3">
      <c r="B346" s="56" t="s">
        <v>462</v>
      </c>
      <c r="S346" s="12">
        <v>600000</v>
      </c>
    </row>
    <row r="347" spans="2:22" ht="18.75" x14ac:dyDescent="0.3">
      <c r="B347" s="56" t="s">
        <v>462</v>
      </c>
      <c r="S347" s="12">
        <v>210000</v>
      </c>
    </row>
    <row r="348" spans="2:22" ht="18.75" x14ac:dyDescent="0.3">
      <c r="B348" s="56" t="s">
        <v>462</v>
      </c>
      <c r="S348" s="12">
        <v>250000</v>
      </c>
      <c r="T348" s="12"/>
    </row>
    <row r="349" spans="2:22" ht="18.75" x14ac:dyDescent="0.3">
      <c r="S349" s="12">
        <v>16473000</v>
      </c>
    </row>
    <row r="350" spans="2:22" ht="23.25" x14ac:dyDescent="0.35">
      <c r="S350" s="67">
        <f>SUM(S338:S349)</f>
        <v>523424897</v>
      </c>
    </row>
    <row r="351" spans="2:22" s="61" customFormat="1" ht="21" x14ac:dyDescent="0.35">
      <c r="B351" s="70" t="s">
        <v>334</v>
      </c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R351" s="70"/>
      <c r="S351" s="62">
        <f>S336-S350</f>
        <v>297398803</v>
      </c>
      <c r="T351" s="62"/>
      <c r="U351" s="62"/>
      <c r="V351" s="62"/>
    </row>
    <row r="354" spans="2:22" ht="21" x14ac:dyDescent="0.35">
      <c r="B354" s="56" t="s">
        <v>460</v>
      </c>
      <c r="S354" s="62">
        <v>99767</v>
      </c>
    </row>
    <row r="355" spans="2:22" ht="21" x14ac:dyDescent="0.35">
      <c r="B355" s="56" t="s">
        <v>461</v>
      </c>
      <c r="S355" s="62">
        <v>3000000</v>
      </c>
    </row>
    <row r="356" spans="2:22" ht="21" x14ac:dyDescent="0.35">
      <c r="S356" s="62">
        <f>SUM(S354:S355)</f>
        <v>3099767</v>
      </c>
    </row>
    <row r="357" spans="2:22" s="72" customFormat="1" ht="26.25" x14ac:dyDescent="0.4">
      <c r="B357" s="72" t="s">
        <v>463</v>
      </c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S357" s="73">
        <f>S351+S356</f>
        <v>300498570</v>
      </c>
      <c r="T357" s="73">
        <v>5449630</v>
      </c>
      <c r="U357" s="73"/>
      <c r="V357" s="73"/>
    </row>
  </sheetData>
  <sortState ref="B3:W323">
    <sortCondition ref="B3:B323"/>
  </sortState>
  <mergeCells count="1">
    <mergeCell ref="B1:S1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topLeftCell="A52" workbookViewId="0">
      <selection activeCell="C117" sqref="C117"/>
    </sheetView>
  </sheetViews>
  <sheetFormatPr defaultRowHeight="15" x14ac:dyDescent="0.25"/>
  <cols>
    <col min="2" max="2" width="41.140625" customWidth="1"/>
    <col min="3" max="3" width="14.5703125" bestFit="1" customWidth="1"/>
    <col min="4" max="4" width="16.140625" customWidth="1"/>
  </cols>
  <sheetData>
    <row r="1" spans="1:6" ht="15.95" x14ac:dyDescent="0.45">
      <c r="A1" s="218" t="s">
        <v>364</v>
      </c>
      <c r="B1" s="218"/>
      <c r="C1" s="218"/>
      <c r="D1" s="218"/>
      <c r="E1" s="218"/>
      <c r="F1" s="218"/>
    </row>
    <row r="2" spans="1:6" s="28" customFormat="1" ht="14.65" x14ac:dyDescent="0.4">
      <c r="A2" s="29" t="s">
        <v>342</v>
      </c>
      <c r="B2" s="30" t="s">
        <v>341</v>
      </c>
      <c r="C2" s="29" t="s">
        <v>343</v>
      </c>
      <c r="D2" s="29" t="s">
        <v>344</v>
      </c>
      <c r="E2" s="29" t="s">
        <v>345</v>
      </c>
      <c r="F2" s="29"/>
    </row>
    <row r="3" spans="1:6" ht="14.65" x14ac:dyDescent="0.4">
      <c r="A3" s="31">
        <v>1</v>
      </c>
      <c r="B3" s="31" t="s">
        <v>222</v>
      </c>
      <c r="C3" s="32">
        <v>50000</v>
      </c>
      <c r="D3" s="31">
        <v>706097474</v>
      </c>
      <c r="E3" s="31" t="s">
        <v>346</v>
      </c>
      <c r="F3" s="31"/>
    </row>
    <row r="4" spans="1:6" ht="14.65" x14ac:dyDescent="0.4">
      <c r="A4" s="31">
        <v>2</v>
      </c>
      <c r="B4" s="31" t="s">
        <v>347</v>
      </c>
      <c r="C4" s="32">
        <v>50000</v>
      </c>
      <c r="D4" s="31">
        <v>706097474</v>
      </c>
      <c r="E4" s="31" t="s">
        <v>346</v>
      </c>
      <c r="F4" s="31"/>
    </row>
    <row r="5" spans="1:6" ht="14.65" x14ac:dyDescent="0.4">
      <c r="A5" s="31">
        <v>3</v>
      </c>
      <c r="B5" s="31" t="s">
        <v>39</v>
      </c>
      <c r="C5" s="32">
        <v>50000</v>
      </c>
      <c r="D5" s="31">
        <v>706549946</v>
      </c>
      <c r="E5" s="31" t="s">
        <v>346</v>
      </c>
      <c r="F5" s="31"/>
    </row>
    <row r="6" spans="1:6" ht="14.65" x14ac:dyDescent="0.4">
      <c r="A6" s="31">
        <v>4</v>
      </c>
      <c r="B6" s="31" t="s">
        <v>348</v>
      </c>
      <c r="C6" s="32">
        <v>50000</v>
      </c>
      <c r="D6" s="31">
        <v>775252299</v>
      </c>
      <c r="E6" s="31" t="s">
        <v>346</v>
      </c>
      <c r="F6" s="31"/>
    </row>
    <row r="7" spans="1:6" ht="14.65" x14ac:dyDescent="0.4">
      <c r="A7" s="31">
        <v>5</v>
      </c>
      <c r="B7" s="31" t="s">
        <v>349</v>
      </c>
      <c r="C7" s="32">
        <v>50000</v>
      </c>
      <c r="D7" s="31">
        <v>756852073</v>
      </c>
      <c r="E7" s="31" t="s">
        <v>346</v>
      </c>
      <c r="F7" s="31"/>
    </row>
    <row r="8" spans="1:6" ht="14.65" x14ac:dyDescent="0.4">
      <c r="A8" s="31">
        <v>6</v>
      </c>
      <c r="B8" s="31" t="s">
        <v>350</v>
      </c>
      <c r="C8" s="32">
        <v>50000</v>
      </c>
      <c r="D8" s="31">
        <v>741638905</v>
      </c>
      <c r="E8" s="31" t="s">
        <v>346</v>
      </c>
      <c r="F8" s="31"/>
    </row>
    <row r="9" spans="1:6" ht="14.65" x14ac:dyDescent="0.4">
      <c r="A9" s="31">
        <v>7</v>
      </c>
      <c r="B9" s="31" t="s">
        <v>81</v>
      </c>
      <c r="C9" s="32">
        <v>50000</v>
      </c>
      <c r="D9" s="31">
        <v>701260965</v>
      </c>
      <c r="E9" s="31" t="s">
        <v>346</v>
      </c>
      <c r="F9" s="31"/>
    </row>
    <row r="10" spans="1:6" ht="14.65" x14ac:dyDescent="0.4">
      <c r="A10" s="31">
        <v>8</v>
      </c>
      <c r="B10" s="31" t="s">
        <v>44</v>
      </c>
      <c r="C10" s="32">
        <v>50000</v>
      </c>
      <c r="D10" s="31">
        <v>782890440</v>
      </c>
      <c r="E10" s="31" t="s">
        <v>346</v>
      </c>
      <c r="F10" s="31"/>
    </row>
    <row r="11" spans="1:6" ht="14.65" x14ac:dyDescent="0.4">
      <c r="A11" s="31">
        <v>9</v>
      </c>
      <c r="B11" s="31" t="s">
        <v>351</v>
      </c>
      <c r="C11" s="32">
        <v>50000</v>
      </c>
      <c r="D11" s="31">
        <v>703469901</v>
      </c>
      <c r="E11" s="31" t="s">
        <v>346</v>
      </c>
      <c r="F11" s="31"/>
    </row>
    <row r="12" spans="1:6" ht="14.65" x14ac:dyDescent="0.4">
      <c r="A12" s="31">
        <v>10</v>
      </c>
      <c r="B12" s="31" t="s">
        <v>352</v>
      </c>
      <c r="C12" s="32">
        <v>50000</v>
      </c>
      <c r="D12" s="31">
        <v>703451785</v>
      </c>
      <c r="E12" s="31" t="s">
        <v>346</v>
      </c>
      <c r="F12" s="31"/>
    </row>
    <row r="13" spans="1:6" ht="14.65" x14ac:dyDescent="0.4">
      <c r="A13" s="31">
        <v>11</v>
      </c>
      <c r="B13" s="31" t="s">
        <v>313</v>
      </c>
      <c r="C13" s="32">
        <v>50000</v>
      </c>
      <c r="D13" s="31">
        <v>772642163</v>
      </c>
      <c r="E13" s="31" t="s">
        <v>346</v>
      </c>
      <c r="F13" s="31"/>
    </row>
    <row r="14" spans="1:6" ht="14.65" x14ac:dyDescent="0.4">
      <c r="A14" s="31">
        <v>12</v>
      </c>
      <c r="B14" s="31" t="s">
        <v>353</v>
      </c>
      <c r="C14" s="32">
        <v>50000</v>
      </c>
      <c r="D14" s="33">
        <v>971502170057</v>
      </c>
      <c r="E14" s="31" t="s">
        <v>346</v>
      </c>
      <c r="F14" s="31"/>
    </row>
    <row r="15" spans="1:6" ht="14.65" x14ac:dyDescent="0.4">
      <c r="A15" s="31">
        <v>13</v>
      </c>
      <c r="B15" s="31" t="s">
        <v>354</v>
      </c>
      <c r="C15" s="32">
        <v>50000</v>
      </c>
      <c r="D15" s="31">
        <v>7887645999</v>
      </c>
      <c r="E15" s="31" t="s">
        <v>355</v>
      </c>
      <c r="F15" s="31"/>
    </row>
    <row r="16" spans="1:6" ht="14.65" x14ac:dyDescent="0.4">
      <c r="A16" s="31">
        <v>14</v>
      </c>
      <c r="B16" s="31" t="s">
        <v>96</v>
      </c>
      <c r="C16" s="32">
        <v>50000</v>
      </c>
      <c r="D16" s="31">
        <v>761535226</v>
      </c>
      <c r="E16" s="31" t="s">
        <v>346</v>
      </c>
      <c r="F16" s="31"/>
    </row>
    <row r="17" spans="1:6" ht="14.65" x14ac:dyDescent="0.4">
      <c r="A17" s="31">
        <v>15</v>
      </c>
      <c r="B17" s="31" t="s">
        <v>356</v>
      </c>
      <c r="C17" s="32">
        <v>50000</v>
      </c>
      <c r="D17" s="31">
        <v>771667443</v>
      </c>
      <c r="E17" s="31" t="s">
        <v>346</v>
      </c>
      <c r="F17" s="31"/>
    </row>
    <row r="18" spans="1:6" ht="14.65" x14ac:dyDescent="0.4">
      <c r="A18" s="31">
        <v>16</v>
      </c>
      <c r="B18" s="31" t="s">
        <v>295</v>
      </c>
      <c r="C18" s="32">
        <v>50000</v>
      </c>
      <c r="D18" s="31">
        <v>700808194</v>
      </c>
      <c r="E18" s="31" t="s">
        <v>346</v>
      </c>
      <c r="F18" s="31"/>
    </row>
    <row r="19" spans="1:6" ht="14.65" x14ac:dyDescent="0.4">
      <c r="A19" s="31">
        <v>17</v>
      </c>
      <c r="B19" s="31" t="s">
        <v>33</v>
      </c>
      <c r="C19" s="32">
        <v>50000</v>
      </c>
      <c r="D19" s="31">
        <v>777910917</v>
      </c>
      <c r="E19" s="31" t="s">
        <v>346</v>
      </c>
      <c r="F19" s="31"/>
    </row>
    <row r="20" spans="1:6" ht="14.65" x14ac:dyDescent="0.4">
      <c r="A20" s="31">
        <v>18</v>
      </c>
      <c r="B20" s="31" t="s">
        <v>357</v>
      </c>
      <c r="C20" s="32">
        <v>40000</v>
      </c>
      <c r="D20" s="33">
        <v>971547705147</v>
      </c>
      <c r="E20" s="31" t="s">
        <v>346</v>
      </c>
      <c r="F20" s="31"/>
    </row>
    <row r="21" spans="1:6" ht="14.65" x14ac:dyDescent="0.4">
      <c r="A21" s="31">
        <v>19</v>
      </c>
      <c r="B21" s="31" t="s">
        <v>358</v>
      </c>
      <c r="C21" s="32">
        <v>50000</v>
      </c>
      <c r="D21" s="31">
        <v>768583832</v>
      </c>
      <c r="E21" s="31" t="s">
        <v>346</v>
      </c>
      <c r="F21" s="31"/>
    </row>
    <row r="22" spans="1:6" ht="14.65" x14ac:dyDescent="0.4">
      <c r="A22" s="31">
        <v>20</v>
      </c>
      <c r="B22" s="31" t="s">
        <v>278</v>
      </c>
      <c r="C22" s="32">
        <v>50000</v>
      </c>
      <c r="D22" s="33">
        <v>966576912157</v>
      </c>
      <c r="E22" s="31" t="s">
        <v>346</v>
      </c>
      <c r="F22" s="31"/>
    </row>
    <row r="23" spans="1:6" ht="14.65" x14ac:dyDescent="0.4">
      <c r="A23" s="31">
        <v>21</v>
      </c>
      <c r="B23" s="31" t="s">
        <v>150</v>
      </c>
      <c r="C23" s="32">
        <v>50000</v>
      </c>
      <c r="D23" s="31">
        <v>743026855</v>
      </c>
      <c r="E23" s="31" t="s">
        <v>346</v>
      </c>
      <c r="F23" s="31"/>
    </row>
    <row r="24" spans="1:6" ht="14.65" x14ac:dyDescent="0.4">
      <c r="A24" s="31">
        <v>22</v>
      </c>
      <c r="B24" s="31" t="s">
        <v>289</v>
      </c>
      <c r="C24" s="32">
        <v>40000</v>
      </c>
      <c r="D24" s="31">
        <v>772175331</v>
      </c>
      <c r="E24" s="31" t="s">
        <v>346</v>
      </c>
      <c r="F24" s="31"/>
    </row>
    <row r="25" spans="1:6" ht="14.65" x14ac:dyDescent="0.4">
      <c r="A25" s="31">
        <v>23</v>
      </c>
      <c r="B25" s="31" t="s">
        <v>359</v>
      </c>
      <c r="C25" s="32">
        <v>50000</v>
      </c>
      <c r="D25" s="31">
        <v>759647476</v>
      </c>
      <c r="E25" s="31" t="s">
        <v>346</v>
      </c>
      <c r="F25" s="31"/>
    </row>
    <row r="26" spans="1:6" ht="14.65" x14ac:dyDescent="0.4">
      <c r="A26" s="31">
        <v>24</v>
      </c>
      <c r="B26" s="31" t="s">
        <v>223</v>
      </c>
      <c r="C26" s="32">
        <v>50000</v>
      </c>
      <c r="D26" s="33">
        <v>971509375005</v>
      </c>
      <c r="E26" s="31" t="s">
        <v>346</v>
      </c>
      <c r="F26" s="31"/>
    </row>
    <row r="27" spans="1:6" ht="14.65" x14ac:dyDescent="0.4">
      <c r="A27" s="31">
        <v>25</v>
      </c>
      <c r="B27" s="31" t="s">
        <v>29</v>
      </c>
      <c r="C27" s="32">
        <v>50000</v>
      </c>
      <c r="D27" s="33">
        <v>966567574539</v>
      </c>
      <c r="E27" s="31" t="s">
        <v>346</v>
      </c>
      <c r="F27" s="31"/>
    </row>
    <row r="28" spans="1:6" ht="14.65" x14ac:dyDescent="0.4">
      <c r="A28" s="31">
        <v>26</v>
      </c>
      <c r="B28" s="31" t="s">
        <v>360</v>
      </c>
      <c r="C28" s="32">
        <v>50000</v>
      </c>
      <c r="D28" s="31">
        <v>702456414</v>
      </c>
      <c r="E28" s="31" t="s">
        <v>346</v>
      </c>
      <c r="F28" s="31"/>
    </row>
    <row r="29" spans="1:6" ht="14.65" x14ac:dyDescent="0.4">
      <c r="A29" s="31">
        <v>27</v>
      </c>
      <c r="B29" s="31" t="s">
        <v>240</v>
      </c>
      <c r="C29" s="32">
        <v>50000</v>
      </c>
      <c r="D29" s="31">
        <v>757632135</v>
      </c>
      <c r="E29" s="31" t="s">
        <v>346</v>
      </c>
      <c r="F29" s="31"/>
    </row>
    <row r="30" spans="1:6" ht="14.65" x14ac:dyDescent="0.4">
      <c r="A30" s="31">
        <v>28</v>
      </c>
      <c r="B30" s="31" t="s">
        <v>171</v>
      </c>
      <c r="C30" s="32">
        <v>50000</v>
      </c>
      <c r="D30" s="31">
        <v>789217923</v>
      </c>
      <c r="E30" s="31" t="s">
        <v>346</v>
      </c>
      <c r="F30" s="31"/>
    </row>
    <row r="31" spans="1:6" ht="14.65" x14ac:dyDescent="0.4">
      <c r="A31" s="31">
        <v>29</v>
      </c>
      <c r="B31" s="31" t="s">
        <v>188</v>
      </c>
      <c r="C31" s="32">
        <v>50000</v>
      </c>
      <c r="D31" s="31">
        <v>702250025</v>
      </c>
      <c r="E31" s="31" t="s">
        <v>355</v>
      </c>
      <c r="F31" s="31"/>
    </row>
    <row r="32" spans="1:6" ht="14.65" x14ac:dyDescent="0.4">
      <c r="A32" s="31">
        <v>30</v>
      </c>
      <c r="B32" s="31" t="s">
        <v>361</v>
      </c>
      <c r="C32" s="32">
        <v>40000</v>
      </c>
      <c r="D32" s="31">
        <v>778709942</v>
      </c>
      <c r="E32" s="31" t="s">
        <v>346</v>
      </c>
      <c r="F32" s="31"/>
    </row>
    <row r="33" spans="1:6" ht="14.65" x14ac:dyDescent="0.4">
      <c r="A33" s="31">
        <v>31</v>
      </c>
      <c r="B33" s="31" t="s">
        <v>232</v>
      </c>
      <c r="C33" s="32">
        <v>50000</v>
      </c>
      <c r="D33" s="31">
        <v>702204676</v>
      </c>
      <c r="E33" s="31" t="s">
        <v>346</v>
      </c>
      <c r="F33" s="31"/>
    </row>
    <row r="34" spans="1:6" ht="14.65" x14ac:dyDescent="0.4">
      <c r="A34" s="31">
        <v>32</v>
      </c>
      <c r="B34" s="31" t="s">
        <v>197</v>
      </c>
      <c r="C34" s="32">
        <v>50000</v>
      </c>
      <c r="D34" s="31">
        <v>750150066</v>
      </c>
      <c r="E34" s="31" t="s">
        <v>346</v>
      </c>
      <c r="F34" s="31"/>
    </row>
    <row r="35" spans="1:6" ht="14.65" x14ac:dyDescent="0.4">
      <c r="A35" s="31">
        <v>33</v>
      </c>
      <c r="B35" s="31" t="s">
        <v>362</v>
      </c>
      <c r="C35" s="32">
        <v>50000</v>
      </c>
      <c r="D35" s="31">
        <v>741378758</v>
      </c>
      <c r="E35" s="31" t="s">
        <v>346</v>
      </c>
      <c r="F35" s="31"/>
    </row>
    <row r="36" spans="1:6" ht="14.65" x14ac:dyDescent="0.4">
      <c r="A36" s="31">
        <v>34</v>
      </c>
      <c r="B36" s="31" t="s">
        <v>363</v>
      </c>
      <c r="C36" s="32">
        <v>50000</v>
      </c>
      <c r="D36" s="31">
        <v>783946435</v>
      </c>
      <c r="E36" s="31" t="s">
        <v>346</v>
      </c>
      <c r="F36" s="31"/>
    </row>
    <row r="37" spans="1:6" ht="14.65" x14ac:dyDescent="0.4">
      <c r="A37" s="31">
        <v>35</v>
      </c>
      <c r="B37" s="31" t="s">
        <v>72</v>
      </c>
      <c r="C37" s="32">
        <v>50000</v>
      </c>
      <c r="D37" s="31">
        <v>759782802</v>
      </c>
      <c r="E37" s="31" t="s">
        <v>346</v>
      </c>
      <c r="F37" s="31"/>
    </row>
    <row r="38" spans="1:6" ht="14.65" x14ac:dyDescent="0.4">
      <c r="A38" s="31">
        <v>36</v>
      </c>
      <c r="B38" s="31" t="s">
        <v>166</v>
      </c>
      <c r="C38" s="32">
        <v>50000</v>
      </c>
      <c r="D38" s="31">
        <v>783755891</v>
      </c>
      <c r="E38" s="31" t="s">
        <v>346</v>
      </c>
      <c r="F38" s="31"/>
    </row>
    <row r="39" spans="1:6" ht="14.65" x14ac:dyDescent="0.4">
      <c r="A39" s="31">
        <v>37</v>
      </c>
      <c r="B39" s="31" t="s">
        <v>94</v>
      </c>
      <c r="C39" s="32">
        <v>50000</v>
      </c>
      <c r="D39" s="31">
        <v>787347182</v>
      </c>
      <c r="E39" s="31" t="s">
        <v>346</v>
      </c>
      <c r="F39" s="31"/>
    </row>
    <row r="40" spans="1:6" ht="14.65" x14ac:dyDescent="0.4">
      <c r="A40" s="31">
        <v>38</v>
      </c>
      <c r="B40" s="31" t="s">
        <v>277</v>
      </c>
      <c r="C40" s="32">
        <v>50000</v>
      </c>
      <c r="D40" s="31">
        <v>786644425</v>
      </c>
      <c r="E40" s="31" t="s">
        <v>355</v>
      </c>
      <c r="F40" s="31"/>
    </row>
    <row r="41" spans="1:6" ht="14.65" x14ac:dyDescent="0.4">
      <c r="A41" s="31">
        <v>39</v>
      </c>
      <c r="B41" s="31" t="s">
        <v>215</v>
      </c>
      <c r="C41" s="32">
        <v>50000</v>
      </c>
      <c r="D41" s="31">
        <v>705398676</v>
      </c>
      <c r="E41" s="31" t="s">
        <v>346</v>
      </c>
      <c r="F41" s="31"/>
    </row>
    <row r="42" spans="1:6" ht="14.65" x14ac:dyDescent="0.4">
      <c r="A42" s="31">
        <v>40</v>
      </c>
      <c r="B42" s="31" t="s">
        <v>310</v>
      </c>
      <c r="C42" s="32">
        <v>50000</v>
      </c>
      <c r="D42" s="31">
        <v>782739376</v>
      </c>
      <c r="E42" s="31" t="s">
        <v>346</v>
      </c>
      <c r="F42" s="31"/>
    </row>
    <row r="43" spans="1:6" ht="14.65" x14ac:dyDescent="0.4">
      <c r="A43" s="31">
        <v>41</v>
      </c>
      <c r="B43" s="31" t="s">
        <v>68</v>
      </c>
      <c r="C43" s="32">
        <v>50000</v>
      </c>
      <c r="D43" s="31">
        <v>772700423</v>
      </c>
      <c r="E43" s="31" t="s">
        <v>346</v>
      </c>
      <c r="F43" s="31"/>
    </row>
    <row r="44" spans="1:6" s="38" customFormat="1" ht="14.65" x14ac:dyDescent="0.4">
      <c r="A44" s="36">
        <v>42</v>
      </c>
      <c r="B44" s="36" t="s">
        <v>243</v>
      </c>
      <c r="C44" s="37">
        <v>30000</v>
      </c>
      <c r="D44" s="36">
        <v>772990348</v>
      </c>
      <c r="E44" s="36" t="s">
        <v>355</v>
      </c>
      <c r="F44" s="36"/>
    </row>
    <row r="45" spans="1:6" ht="14.65" x14ac:dyDescent="0.4">
      <c r="A45" s="31">
        <v>43</v>
      </c>
      <c r="B45" s="31" t="s">
        <v>169</v>
      </c>
      <c r="C45" s="32">
        <v>50000</v>
      </c>
      <c r="D45" s="31">
        <v>775604120</v>
      </c>
      <c r="E45" s="31" t="s">
        <v>346</v>
      </c>
      <c r="F45" s="31"/>
    </row>
    <row r="46" spans="1:6" ht="14.65" x14ac:dyDescent="0.4">
      <c r="A46" s="31">
        <v>44</v>
      </c>
      <c r="B46" s="31" t="s">
        <v>34</v>
      </c>
      <c r="C46" s="32">
        <v>40000</v>
      </c>
      <c r="D46" s="31">
        <v>7004433040</v>
      </c>
      <c r="E46" s="31" t="s">
        <v>346</v>
      </c>
      <c r="F46" s="31"/>
    </row>
    <row r="47" spans="1:6" ht="14.65" x14ac:dyDescent="0.4">
      <c r="A47" s="31">
        <v>45</v>
      </c>
      <c r="B47" s="31" t="s">
        <v>164</v>
      </c>
      <c r="C47" s="32">
        <v>50000</v>
      </c>
      <c r="D47" s="31">
        <v>708296623</v>
      </c>
      <c r="E47" s="31" t="s">
        <v>355</v>
      </c>
      <c r="F47" s="31"/>
    </row>
    <row r="48" spans="1:6" ht="14.65" x14ac:dyDescent="0.4">
      <c r="A48" s="31">
        <v>46</v>
      </c>
      <c r="B48" s="31" t="s">
        <v>365</v>
      </c>
      <c r="C48" s="32">
        <v>50000</v>
      </c>
      <c r="D48" s="31">
        <v>786995580</v>
      </c>
      <c r="E48" s="31" t="s">
        <v>346</v>
      </c>
      <c r="F48" s="31"/>
    </row>
    <row r="49" spans="1:6" ht="14.65" x14ac:dyDescent="0.4">
      <c r="A49" s="31">
        <v>47</v>
      </c>
      <c r="B49" s="31" t="s">
        <v>366</v>
      </c>
      <c r="C49" s="32">
        <v>40000</v>
      </c>
      <c r="D49" s="31">
        <v>779130701</v>
      </c>
      <c r="E49" s="31" t="s">
        <v>346</v>
      </c>
      <c r="F49" s="31"/>
    </row>
    <row r="50" spans="1:6" ht="14.65" x14ac:dyDescent="0.4">
      <c r="A50" s="31">
        <v>48</v>
      </c>
      <c r="B50" s="31" t="s">
        <v>182</v>
      </c>
      <c r="C50" s="32">
        <v>50000</v>
      </c>
      <c r="D50" s="31">
        <v>780871613</v>
      </c>
      <c r="E50" s="31"/>
      <c r="F50" s="31"/>
    </row>
    <row r="51" spans="1:6" ht="14.65" x14ac:dyDescent="0.4">
      <c r="A51" s="31">
        <v>49</v>
      </c>
      <c r="B51" s="31" t="s">
        <v>367</v>
      </c>
      <c r="C51" s="32">
        <v>50000</v>
      </c>
      <c r="D51" s="31">
        <v>758159182</v>
      </c>
      <c r="E51" s="31" t="s">
        <v>346</v>
      </c>
      <c r="F51" s="31"/>
    </row>
    <row r="52" spans="1:6" ht="14.65" x14ac:dyDescent="0.4">
      <c r="A52" s="31">
        <v>50</v>
      </c>
      <c r="B52" s="31" t="s">
        <v>368</v>
      </c>
      <c r="C52" s="32">
        <v>50000</v>
      </c>
      <c r="D52" s="31">
        <v>789087185</v>
      </c>
      <c r="E52" s="31" t="s">
        <v>355</v>
      </c>
      <c r="F52" s="31"/>
    </row>
    <row r="53" spans="1:6" ht="14.65" x14ac:dyDescent="0.4">
      <c r="A53" s="31">
        <v>51</v>
      </c>
      <c r="B53" s="31" t="s">
        <v>369</v>
      </c>
      <c r="C53" s="32">
        <v>50000</v>
      </c>
      <c r="D53" s="31">
        <v>789087185</v>
      </c>
      <c r="E53" s="31" t="s">
        <v>355</v>
      </c>
      <c r="F53" s="31"/>
    </row>
    <row r="54" spans="1:6" ht="14.65" x14ac:dyDescent="0.4">
      <c r="A54" s="31">
        <v>52</v>
      </c>
      <c r="B54" s="31" t="s">
        <v>131</v>
      </c>
      <c r="C54" s="32">
        <v>50000</v>
      </c>
      <c r="D54" s="31">
        <v>789884965</v>
      </c>
      <c r="E54" s="31" t="s">
        <v>346</v>
      </c>
      <c r="F54" s="31"/>
    </row>
    <row r="55" spans="1:6" ht="14.65" x14ac:dyDescent="0.4">
      <c r="A55" s="31">
        <v>53</v>
      </c>
      <c r="B55" s="31" t="s">
        <v>370</v>
      </c>
      <c r="C55" s="32">
        <v>50000</v>
      </c>
      <c r="D55" s="31">
        <v>752979737</v>
      </c>
      <c r="E55" s="31" t="s">
        <v>346</v>
      </c>
      <c r="F55" s="31"/>
    </row>
    <row r="56" spans="1:6" ht="14.65" x14ac:dyDescent="0.4">
      <c r="A56" s="31">
        <v>54</v>
      </c>
      <c r="B56" s="31" t="s">
        <v>371</v>
      </c>
      <c r="C56" s="32">
        <v>50000</v>
      </c>
      <c r="D56" s="31">
        <v>774048204</v>
      </c>
      <c r="E56" s="31" t="s">
        <v>346</v>
      </c>
      <c r="F56" s="31"/>
    </row>
    <row r="57" spans="1:6" ht="14.65" x14ac:dyDescent="0.4">
      <c r="A57" s="31">
        <v>55</v>
      </c>
      <c r="B57" s="31" t="s">
        <v>372</v>
      </c>
      <c r="C57" s="32">
        <v>50000</v>
      </c>
      <c r="D57" s="31">
        <v>785873776</v>
      </c>
      <c r="E57" s="31" t="s">
        <v>346</v>
      </c>
      <c r="F57" s="31"/>
    </row>
    <row r="58" spans="1:6" ht="14.65" x14ac:dyDescent="0.4">
      <c r="A58" s="31">
        <v>56</v>
      </c>
      <c r="B58" s="31" t="s">
        <v>373</v>
      </c>
      <c r="C58" s="32">
        <v>50000</v>
      </c>
      <c r="D58" s="31">
        <v>782533304</v>
      </c>
      <c r="E58" s="31" t="s">
        <v>346</v>
      </c>
      <c r="F58" s="31"/>
    </row>
    <row r="59" spans="1:6" ht="14.65" x14ac:dyDescent="0.4">
      <c r="A59" s="31">
        <v>57</v>
      </c>
      <c r="B59" s="31" t="s">
        <v>172</v>
      </c>
      <c r="C59" s="32">
        <v>50000</v>
      </c>
      <c r="D59" s="31">
        <v>705856641</v>
      </c>
      <c r="E59" s="31" t="s">
        <v>346</v>
      </c>
      <c r="F59" s="31"/>
    </row>
    <row r="60" spans="1:6" ht="14.65" x14ac:dyDescent="0.4">
      <c r="A60" s="31">
        <v>58</v>
      </c>
      <c r="B60" s="31" t="s">
        <v>374</v>
      </c>
      <c r="C60" s="32">
        <v>50000</v>
      </c>
      <c r="D60" s="31">
        <v>754655785</v>
      </c>
      <c r="E60" s="31" t="s">
        <v>346</v>
      </c>
      <c r="F60" s="31"/>
    </row>
    <row r="61" spans="1:6" ht="14.65" x14ac:dyDescent="0.4">
      <c r="A61" s="31">
        <v>59</v>
      </c>
      <c r="B61" s="31" t="s">
        <v>298</v>
      </c>
      <c r="C61" s="32">
        <v>50000</v>
      </c>
      <c r="D61" s="31">
        <v>753493299</v>
      </c>
      <c r="E61" s="31" t="s">
        <v>346</v>
      </c>
      <c r="F61" s="31"/>
    </row>
    <row r="62" spans="1:6" ht="14.65" x14ac:dyDescent="0.4">
      <c r="A62" s="31">
        <v>60</v>
      </c>
      <c r="B62" s="31" t="s">
        <v>97</v>
      </c>
      <c r="C62" s="32">
        <v>20000</v>
      </c>
      <c r="D62" s="31">
        <v>777488586</v>
      </c>
      <c r="E62" s="31" t="s">
        <v>346</v>
      </c>
      <c r="F62" s="31"/>
    </row>
    <row r="63" spans="1:6" ht="14.65" x14ac:dyDescent="0.4">
      <c r="A63" s="31">
        <v>61</v>
      </c>
      <c r="B63" s="31" t="s">
        <v>86</v>
      </c>
      <c r="C63" s="32">
        <v>50000</v>
      </c>
      <c r="D63" s="33">
        <v>971562324992</v>
      </c>
      <c r="E63" s="31" t="s">
        <v>346</v>
      </c>
      <c r="F63" s="31"/>
    </row>
    <row r="64" spans="1:6" ht="14.65" x14ac:dyDescent="0.4">
      <c r="A64" s="31">
        <v>62</v>
      </c>
      <c r="B64" s="31" t="s">
        <v>309</v>
      </c>
      <c r="C64" s="32">
        <v>40000</v>
      </c>
      <c r="D64" s="31">
        <v>705997070</v>
      </c>
      <c r="E64" s="31" t="s">
        <v>346</v>
      </c>
      <c r="F64" s="31"/>
    </row>
    <row r="65" spans="1:6" ht="14.65" x14ac:dyDescent="0.4">
      <c r="A65" s="31">
        <v>63</v>
      </c>
      <c r="B65" s="31" t="s">
        <v>209</v>
      </c>
      <c r="C65" s="32">
        <v>50000</v>
      </c>
      <c r="D65" s="31">
        <v>782424704</v>
      </c>
      <c r="E65" s="31" t="s">
        <v>346</v>
      </c>
      <c r="F65" s="31"/>
    </row>
    <row r="66" spans="1:6" ht="14.65" x14ac:dyDescent="0.4">
      <c r="A66" s="31">
        <v>64</v>
      </c>
      <c r="B66" s="31" t="s">
        <v>375</v>
      </c>
      <c r="C66" s="32">
        <v>50000</v>
      </c>
      <c r="D66" s="31">
        <v>701317139</v>
      </c>
      <c r="E66" s="31" t="s">
        <v>346</v>
      </c>
      <c r="F66" s="31"/>
    </row>
    <row r="67" spans="1:6" ht="14.65" x14ac:dyDescent="0.4">
      <c r="A67" s="31">
        <v>65</v>
      </c>
      <c r="B67" s="31" t="s">
        <v>376</v>
      </c>
      <c r="C67" s="32">
        <v>50000</v>
      </c>
      <c r="D67" s="31">
        <v>701317139</v>
      </c>
      <c r="E67" s="31" t="s">
        <v>346</v>
      </c>
      <c r="F67" s="31"/>
    </row>
    <row r="68" spans="1:6" ht="14.65" x14ac:dyDescent="0.4">
      <c r="A68" s="31">
        <v>66</v>
      </c>
      <c r="B68" s="31" t="s">
        <v>377</v>
      </c>
      <c r="C68" s="32">
        <v>50000</v>
      </c>
      <c r="D68" s="31">
        <v>782051310</v>
      </c>
      <c r="E68" s="31" t="s">
        <v>355</v>
      </c>
      <c r="F68" s="31"/>
    </row>
    <row r="69" spans="1:6" ht="14.65" x14ac:dyDescent="0.4">
      <c r="A69" s="31">
        <v>67</v>
      </c>
      <c r="B69" s="31" t="s">
        <v>378</v>
      </c>
      <c r="C69" s="32">
        <v>50000</v>
      </c>
      <c r="D69" s="31">
        <v>782051310</v>
      </c>
      <c r="E69" s="31" t="s">
        <v>355</v>
      </c>
      <c r="F69" s="31"/>
    </row>
    <row r="70" spans="1:6" ht="14.65" x14ac:dyDescent="0.4">
      <c r="A70" s="31">
        <v>68</v>
      </c>
      <c r="B70" s="31" t="s">
        <v>308</v>
      </c>
      <c r="C70" s="32">
        <v>50000</v>
      </c>
      <c r="D70" s="31">
        <v>756365610</v>
      </c>
      <c r="E70" s="31" t="s">
        <v>346</v>
      </c>
      <c r="F70" s="31"/>
    </row>
    <row r="71" spans="1:6" ht="14.65" x14ac:dyDescent="0.4">
      <c r="A71" s="31">
        <v>69</v>
      </c>
      <c r="B71" s="31" t="s">
        <v>62</v>
      </c>
      <c r="C71" s="32">
        <v>50000</v>
      </c>
      <c r="D71" s="31">
        <v>701024855</v>
      </c>
      <c r="E71" s="31" t="s">
        <v>346</v>
      </c>
      <c r="F71" s="31"/>
    </row>
    <row r="72" spans="1:6" ht="14.65" x14ac:dyDescent="0.4">
      <c r="A72" s="31">
        <v>70</v>
      </c>
      <c r="B72" s="31" t="s">
        <v>281</v>
      </c>
      <c r="C72" s="32">
        <v>50000</v>
      </c>
      <c r="D72" s="31">
        <v>771618059</v>
      </c>
      <c r="E72" s="31" t="s">
        <v>346</v>
      </c>
      <c r="F72" s="31"/>
    </row>
    <row r="73" spans="1:6" ht="14.65" x14ac:dyDescent="0.4">
      <c r="A73" s="31">
        <v>71</v>
      </c>
      <c r="B73" s="31" t="s">
        <v>379</v>
      </c>
      <c r="C73" s="32">
        <v>50000</v>
      </c>
      <c r="D73" s="31">
        <v>758111495</v>
      </c>
      <c r="E73" s="31" t="s">
        <v>346</v>
      </c>
      <c r="F73" s="31"/>
    </row>
    <row r="74" spans="1:6" ht="14.65" x14ac:dyDescent="0.4">
      <c r="A74" s="31">
        <v>72</v>
      </c>
      <c r="B74" s="31" t="s">
        <v>270</v>
      </c>
      <c r="C74" s="32">
        <v>50000</v>
      </c>
      <c r="D74" s="31">
        <v>700000003</v>
      </c>
      <c r="E74" s="31" t="s">
        <v>346</v>
      </c>
      <c r="F74" s="31"/>
    </row>
    <row r="75" spans="1:6" ht="14.65" x14ac:dyDescent="0.4">
      <c r="A75" s="31">
        <v>73</v>
      </c>
      <c r="B75" s="31" t="s">
        <v>304</v>
      </c>
      <c r="C75" s="32">
        <v>50000</v>
      </c>
      <c r="D75" s="31">
        <v>708257842</v>
      </c>
      <c r="E75" s="31" t="s">
        <v>346</v>
      </c>
      <c r="F75" s="31"/>
    </row>
    <row r="76" spans="1:6" ht="14.65" x14ac:dyDescent="0.4">
      <c r="A76" s="31">
        <v>74</v>
      </c>
      <c r="B76" s="31" t="s">
        <v>380</v>
      </c>
      <c r="C76" s="32">
        <v>50000</v>
      </c>
      <c r="D76" s="31">
        <v>772637448</v>
      </c>
      <c r="E76" s="31" t="s">
        <v>346</v>
      </c>
      <c r="F76" s="31"/>
    </row>
    <row r="77" spans="1:6" x14ac:dyDescent="0.25">
      <c r="A77" s="31">
        <v>75</v>
      </c>
      <c r="B77" s="31" t="s">
        <v>381</v>
      </c>
      <c r="C77" s="32">
        <v>50000</v>
      </c>
      <c r="D77" s="31">
        <v>750313341</v>
      </c>
      <c r="E77" s="31" t="s">
        <v>346</v>
      </c>
      <c r="F77" s="31"/>
    </row>
    <row r="78" spans="1:6" x14ac:dyDescent="0.25">
      <c r="A78" s="31">
        <v>76</v>
      </c>
      <c r="B78" s="31" t="s">
        <v>55</v>
      </c>
      <c r="C78" s="32">
        <v>50000</v>
      </c>
      <c r="D78" s="31">
        <v>702505894</v>
      </c>
      <c r="E78" s="31" t="s">
        <v>346</v>
      </c>
      <c r="F78" s="31"/>
    </row>
    <row r="79" spans="1:6" x14ac:dyDescent="0.25">
      <c r="A79" s="31">
        <v>77</v>
      </c>
      <c r="B79" s="31" t="s">
        <v>167</v>
      </c>
      <c r="C79" s="32">
        <v>50000</v>
      </c>
      <c r="D79" s="31">
        <v>783236121</v>
      </c>
      <c r="E79" s="31" t="s">
        <v>346</v>
      </c>
      <c r="F79" s="31"/>
    </row>
    <row r="80" spans="1:6" x14ac:dyDescent="0.25">
      <c r="A80" s="31">
        <v>78</v>
      </c>
      <c r="B80" s="31" t="s">
        <v>382</v>
      </c>
      <c r="C80" s="32">
        <v>50000</v>
      </c>
      <c r="D80" s="31">
        <v>31684935122</v>
      </c>
      <c r="E80" s="31" t="s">
        <v>346</v>
      </c>
      <c r="F80" s="31"/>
    </row>
    <row r="81" spans="1:6" x14ac:dyDescent="0.25">
      <c r="A81" s="31">
        <v>79</v>
      </c>
      <c r="B81" s="31" t="s">
        <v>383</v>
      </c>
      <c r="C81" s="32">
        <v>50000</v>
      </c>
      <c r="D81" s="31">
        <v>708426497</v>
      </c>
      <c r="E81" s="31" t="s">
        <v>346</v>
      </c>
      <c r="F81" s="31"/>
    </row>
    <row r="82" spans="1:6" x14ac:dyDescent="0.25">
      <c r="A82" s="31">
        <v>80</v>
      </c>
      <c r="B82" s="31" t="s">
        <v>168</v>
      </c>
      <c r="C82" s="32">
        <v>50000</v>
      </c>
      <c r="D82" s="31">
        <v>702482968</v>
      </c>
      <c r="E82" s="31" t="s">
        <v>355</v>
      </c>
      <c r="F82" s="31"/>
    </row>
    <row r="83" spans="1:6" x14ac:dyDescent="0.25">
      <c r="A83" s="31">
        <v>81</v>
      </c>
      <c r="B83" s="31" t="s">
        <v>205</v>
      </c>
      <c r="C83" s="32">
        <v>50000</v>
      </c>
      <c r="D83" s="31">
        <v>740616421</v>
      </c>
      <c r="E83" s="31" t="s">
        <v>346</v>
      </c>
      <c r="F83" s="31"/>
    </row>
    <row r="84" spans="1:6" x14ac:dyDescent="0.25">
      <c r="A84" s="31">
        <v>82</v>
      </c>
      <c r="B84" s="31" t="s">
        <v>386</v>
      </c>
      <c r="C84" s="32">
        <v>50000</v>
      </c>
      <c r="D84" s="31">
        <v>789087185</v>
      </c>
      <c r="E84" s="31" t="s">
        <v>346</v>
      </c>
      <c r="F84" s="31"/>
    </row>
    <row r="85" spans="1:6" x14ac:dyDescent="0.25">
      <c r="A85" s="31">
        <v>83</v>
      </c>
      <c r="B85" s="31" t="s">
        <v>28</v>
      </c>
      <c r="C85" s="32">
        <v>50000</v>
      </c>
      <c r="D85" s="31">
        <v>705159473</v>
      </c>
      <c r="E85" s="31" t="s">
        <v>346</v>
      </c>
      <c r="F85" s="31"/>
    </row>
    <row r="86" spans="1:6" x14ac:dyDescent="0.25">
      <c r="A86" s="31">
        <v>84</v>
      </c>
      <c r="B86" s="31" t="s">
        <v>387</v>
      </c>
      <c r="C86" s="32">
        <v>50000</v>
      </c>
      <c r="D86" s="31">
        <v>777244682</v>
      </c>
      <c r="E86" s="31" t="s">
        <v>346</v>
      </c>
      <c r="F86" s="31"/>
    </row>
    <row r="87" spans="1:6" x14ac:dyDescent="0.25">
      <c r="A87" s="31">
        <v>85</v>
      </c>
      <c r="B87" s="31" t="s">
        <v>388</v>
      </c>
      <c r="C87" s="32">
        <v>50000</v>
      </c>
      <c r="D87" s="31">
        <v>701816861</v>
      </c>
      <c r="E87" s="31" t="s">
        <v>346</v>
      </c>
      <c r="F87" s="31"/>
    </row>
    <row r="88" spans="1:6" x14ac:dyDescent="0.25">
      <c r="A88" s="31">
        <v>86</v>
      </c>
      <c r="B88" s="31" t="s">
        <v>390</v>
      </c>
      <c r="C88" s="32">
        <v>40000</v>
      </c>
      <c r="D88" s="31"/>
      <c r="E88" s="31" t="s">
        <v>346</v>
      </c>
      <c r="F88" s="31"/>
    </row>
    <row r="89" spans="1:6" x14ac:dyDescent="0.25">
      <c r="A89" s="31">
        <v>87</v>
      </c>
      <c r="B89" s="31" t="s">
        <v>389</v>
      </c>
      <c r="C89" s="32">
        <v>40000</v>
      </c>
      <c r="D89" s="31"/>
      <c r="E89" s="31" t="s">
        <v>346</v>
      </c>
      <c r="F89" s="31"/>
    </row>
    <row r="90" spans="1:6" x14ac:dyDescent="0.25">
      <c r="A90" s="31">
        <v>88</v>
      </c>
      <c r="B90" s="31" t="s">
        <v>396</v>
      </c>
      <c r="C90" s="32">
        <v>50000</v>
      </c>
      <c r="D90" s="31">
        <v>772660491</v>
      </c>
      <c r="E90" s="31" t="s">
        <v>346</v>
      </c>
      <c r="F90" s="31"/>
    </row>
    <row r="91" spans="1:6" x14ac:dyDescent="0.25">
      <c r="A91" s="31">
        <v>89</v>
      </c>
      <c r="B91" s="31" t="s">
        <v>392</v>
      </c>
      <c r="C91" s="32">
        <v>50000</v>
      </c>
      <c r="D91" s="31"/>
      <c r="E91" s="31" t="s">
        <v>346</v>
      </c>
      <c r="F91" s="31"/>
    </row>
    <row r="92" spans="1:6" x14ac:dyDescent="0.25">
      <c r="A92" s="31">
        <v>90</v>
      </c>
      <c r="B92" s="31" t="s">
        <v>393</v>
      </c>
      <c r="C92" s="32">
        <v>50000</v>
      </c>
      <c r="D92" s="31"/>
      <c r="E92" s="31" t="s">
        <v>346</v>
      </c>
      <c r="F92" s="31"/>
    </row>
    <row r="93" spans="1:6" x14ac:dyDescent="0.25">
      <c r="A93" s="31">
        <v>91</v>
      </c>
      <c r="B93" s="31" t="s">
        <v>261</v>
      </c>
      <c r="C93" s="32">
        <v>20000</v>
      </c>
      <c r="D93" s="31"/>
      <c r="E93" s="31" t="s">
        <v>355</v>
      </c>
      <c r="F93" s="31"/>
    </row>
    <row r="94" spans="1:6" x14ac:dyDescent="0.25">
      <c r="A94" s="31">
        <v>92</v>
      </c>
      <c r="B94" s="31" t="s">
        <v>397</v>
      </c>
      <c r="C94" s="32">
        <v>50000</v>
      </c>
      <c r="D94" s="31"/>
      <c r="E94" s="31" t="s">
        <v>346</v>
      </c>
      <c r="F94" s="31"/>
    </row>
    <row r="95" spans="1:6" x14ac:dyDescent="0.25">
      <c r="A95" s="31"/>
      <c r="B95" s="31"/>
      <c r="C95" s="32"/>
      <c r="D95" s="31"/>
      <c r="E95" s="31"/>
      <c r="F95" s="31"/>
    </row>
    <row r="96" spans="1:6" x14ac:dyDescent="0.25">
      <c r="A96" s="31"/>
      <c r="B96" s="31"/>
      <c r="C96" s="32"/>
      <c r="D96" s="31"/>
      <c r="E96" s="31"/>
      <c r="F96" s="31"/>
    </row>
    <row r="97" spans="1:6" x14ac:dyDescent="0.25">
      <c r="A97" s="31"/>
      <c r="B97" s="31"/>
      <c r="C97" s="32"/>
      <c r="D97" s="31"/>
      <c r="E97" s="31"/>
      <c r="F97" s="31"/>
    </row>
    <row r="98" spans="1:6" x14ac:dyDescent="0.25">
      <c r="A98" s="39"/>
      <c r="B98" s="40" t="s">
        <v>406</v>
      </c>
      <c r="C98" s="41">
        <f>SUM(C3:C94)</f>
        <v>4440000</v>
      </c>
      <c r="D98" s="31"/>
      <c r="E98" s="31"/>
      <c r="F98" s="31"/>
    </row>
    <row r="99" spans="1:6" x14ac:dyDescent="0.25">
      <c r="B99" s="31"/>
      <c r="C99" s="31"/>
      <c r="D99" s="31"/>
      <c r="E99" s="31"/>
      <c r="F99" s="31"/>
    </row>
    <row r="100" spans="1:6" x14ac:dyDescent="0.25">
      <c r="B100" s="31"/>
      <c r="C100" s="31"/>
      <c r="D100" s="31"/>
      <c r="E100" s="31"/>
      <c r="F100" s="31"/>
    </row>
    <row r="101" spans="1:6" x14ac:dyDescent="0.25">
      <c r="B101" s="31"/>
      <c r="C101" s="31"/>
      <c r="D101" s="31"/>
      <c r="E101" s="31"/>
      <c r="F101" s="31"/>
    </row>
    <row r="102" spans="1:6" x14ac:dyDescent="0.25">
      <c r="B102" s="31"/>
      <c r="C102" s="44">
        <v>920000</v>
      </c>
      <c r="D102" s="31" t="s">
        <v>412</v>
      </c>
      <c r="E102" s="31"/>
      <c r="F102" s="31"/>
    </row>
    <row r="103" spans="1:6" x14ac:dyDescent="0.25">
      <c r="B103" s="31"/>
      <c r="C103" s="37">
        <v>117000</v>
      </c>
      <c r="D103" s="31" t="s">
        <v>391</v>
      </c>
      <c r="E103" s="31"/>
      <c r="F103" s="31"/>
    </row>
    <row r="104" spans="1:6" x14ac:dyDescent="0.25">
      <c r="B104" s="31"/>
      <c r="C104" s="37">
        <v>14000</v>
      </c>
      <c r="D104" s="31" t="s">
        <v>385</v>
      </c>
      <c r="E104" s="31"/>
      <c r="F104" s="31"/>
    </row>
    <row r="105" spans="1:6" x14ac:dyDescent="0.25">
      <c r="B105" s="31"/>
      <c r="C105" s="37">
        <v>150000</v>
      </c>
      <c r="D105" s="31" t="s">
        <v>411</v>
      </c>
      <c r="E105" s="31"/>
      <c r="F105" s="31"/>
    </row>
    <row r="106" spans="1:6" x14ac:dyDescent="0.25">
      <c r="B106" s="31"/>
      <c r="C106" s="37">
        <v>150000</v>
      </c>
      <c r="D106" s="31" t="s">
        <v>395</v>
      </c>
      <c r="E106" s="31"/>
      <c r="F106" s="31"/>
    </row>
    <row r="107" spans="1:6" x14ac:dyDescent="0.25">
      <c r="B107" s="31"/>
      <c r="C107" s="37">
        <v>15000</v>
      </c>
      <c r="D107" s="31" t="s">
        <v>394</v>
      </c>
      <c r="E107" s="31"/>
      <c r="F107" s="31"/>
    </row>
    <row r="108" spans="1:6" x14ac:dyDescent="0.25">
      <c r="B108" s="31"/>
      <c r="C108" s="37">
        <v>300000</v>
      </c>
      <c r="D108" s="31" t="s">
        <v>409</v>
      </c>
      <c r="E108" s="31"/>
      <c r="F108" s="31"/>
    </row>
    <row r="109" spans="1:6" x14ac:dyDescent="0.25">
      <c r="B109" s="31"/>
      <c r="C109" s="37">
        <v>900000</v>
      </c>
      <c r="D109" s="31" t="s">
        <v>398</v>
      </c>
      <c r="E109" s="31"/>
      <c r="F109" s="31"/>
    </row>
    <row r="110" spans="1:6" x14ac:dyDescent="0.25">
      <c r="B110" s="31"/>
      <c r="C110" s="32">
        <v>1010000</v>
      </c>
      <c r="D110" s="31" t="s">
        <v>410</v>
      </c>
      <c r="E110" s="31"/>
      <c r="F110" s="31"/>
    </row>
    <row r="111" spans="1:6" x14ac:dyDescent="0.25">
      <c r="B111" s="31"/>
      <c r="C111" s="32">
        <v>230000</v>
      </c>
      <c r="D111" s="31" t="s">
        <v>399</v>
      </c>
      <c r="E111" s="31"/>
      <c r="F111" s="31"/>
    </row>
    <row r="112" spans="1:6" x14ac:dyDescent="0.25">
      <c r="B112" s="31"/>
      <c r="C112" s="32">
        <v>70000</v>
      </c>
      <c r="D112" s="31" t="s">
        <v>400</v>
      </c>
      <c r="E112" s="31"/>
      <c r="F112" s="31"/>
    </row>
    <row r="113" spans="2:6" x14ac:dyDescent="0.25">
      <c r="B113" s="31"/>
      <c r="C113" s="32">
        <v>440000</v>
      </c>
      <c r="D113" s="31" t="s">
        <v>401</v>
      </c>
      <c r="E113" s="31"/>
      <c r="F113" s="31"/>
    </row>
    <row r="114" spans="2:6" x14ac:dyDescent="0.25">
      <c r="B114" s="31"/>
      <c r="C114" s="32">
        <v>50000</v>
      </c>
      <c r="D114" s="31" t="s">
        <v>402</v>
      </c>
      <c r="E114" s="31"/>
      <c r="F114" s="31"/>
    </row>
    <row r="115" spans="2:6" x14ac:dyDescent="0.25">
      <c r="B115" s="31"/>
      <c r="C115" s="32">
        <v>60000</v>
      </c>
      <c r="D115" s="31" t="s">
        <v>413</v>
      </c>
      <c r="E115" s="31"/>
      <c r="F115" s="31"/>
    </row>
    <row r="116" spans="2:6" ht="15.75" x14ac:dyDescent="0.25">
      <c r="B116" s="40" t="s">
        <v>408</v>
      </c>
      <c r="C116" s="42">
        <f>SUM(C102:C115)</f>
        <v>4426000</v>
      </c>
      <c r="D116" s="31"/>
      <c r="E116" s="31"/>
      <c r="F116" s="31"/>
    </row>
    <row r="117" spans="2:6" x14ac:dyDescent="0.25">
      <c r="B117" s="40" t="s">
        <v>407</v>
      </c>
      <c r="C117" s="43">
        <f>C98-C116</f>
        <v>14000</v>
      </c>
      <c r="D117" s="31"/>
      <c r="E117" s="31"/>
      <c r="F117" s="31"/>
    </row>
    <row r="118" spans="2:6" x14ac:dyDescent="0.25">
      <c r="B118" s="31"/>
      <c r="C118" s="31"/>
      <c r="D118" s="31"/>
      <c r="E118" s="31"/>
      <c r="F118" s="3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14"/>
  <sheetViews>
    <sheetView workbookViewId="0">
      <selection activeCell="A181" sqref="A181:XFD181"/>
    </sheetView>
  </sheetViews>
  <sheetFormatPr defaultColWidth="9.140625" defaultRowHeight="15" x14ac:dyDescent="0.25"/>
  <cols>
    <col min="1" max="1" width="9.85546875" style="7" bestFit="1" customWidth="1"/>
    <col min="2" max="2" width="44.28515625" style="7" customWidth="1"/>
    <col min="3" max="3" width="21.5703125" style="13" customWidth="1"/>
    <col min="4" max="4" width="19.7109375" style="13" customWidth="1"/>
    <col min="5" max="5" width="19" style="13" customWidth="1"/>
    <col min="6" max="6" width="18.28515625" style="13" customWidth="1"/>
    <col min="7" max="7" width="18.140625" style="13" customWidth="1"/>
    <col min="8" max="8" width="18.7109375" style="13" customWidth="1"/>
    <col min="9" max="9" width="18.140625" style="13" customWidth="1"/>
    <col min="10" max="10" width="19.5703125" style="13" customWidth="1"/>
    <col min="11" max="11" width="20" style="13" customWidth="1"/>
    <col min="12" max="12" width="19" style="13" customWidth="1"/>
    <col min="13" max="13" width="20.140625" style="13" customWidth="1"/>
    <col min="14" max="14" width="19.5703125" style="13" customWidth="1"/>
    <col min="15" max="15" width="20.28515625" style="13" customWidth="1"/>
    <col min="16" max="16" width="17.7109375" style="7" bestFit="1" customWidth="1"/>
    <col min="17" max="17" width="18.28515625" style="7" bestFit="1" customWidth="1"/>
    <col min="18" max="20" width="19" style="13" customWidth="1"/>
    <col min="21" max="22" width="16.5703125" style="7" customWidth="1"/>
    <col min="23" max="23" width="17.28515625" style="7" customWidth="1"/>
    <col min="24" max="16384" width="9.140625" style="7"/>
  </cols>
  <sheetData>
    <row r="1" spans="1:23" ht="21" x14ac:dyDescent="0.35">
      <c r="A1" s="23">
        <v>100000</v>
      </c>
      <c r="B1" s="219" t="s">
        <v>0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7"/>
      <c r="T1" s="27"/>
    </row>
    <row r="2" spans="1:23" ht="24" customHeight="1" x14ac:dyDescent="0.3">
      <c r="A2" s="1"/>
      <c r="B2" s="10" t="s">
        <v>1</v>
      </c>
      <c r="C2" s="24" t="s">
        <v>336</v>
      </c>
      <c r="D2" s="24" t="s">
        <v>321</v>
      </c>
      <c r="E2" s="24" t="s">
        <v>322</v>
      </c>
      <c r="F2" s="24" t="s">
        <v>323</v>
      </c>
      <c r="G2" s="24" t="s">
        <v>324</v>
      </c>
      <c r="H2" s="24" t="s">
        <v>325</v>
      </c>
      <c r="I2" s="24" t="s">
        <v>326</v>
      </c>
      <c r="J2" s="24" t="s">
        <v>338</v>
      </c>
      <c r="K2" s="24" t="s">
        <v>327</v>
      </c>
      <c r="L2" s="24" t="s">
        <v>328</v>
      </c>
      <c r="M2" s="24" t="s">
        <v>329</v>
      </c>
      <c r="N2" s="24" t="s">
        <v>330</v>
      </c>
      <c r="O2" s="24" t="s">
        <v>331</v>
      </c>
      <c r="P2" s="25" t="s">
        <v>332</v>
      </c>
      <c r="Q2" s="25" t="s">
        <v>333</v>
      </c>
      <c r="R2" s="24" t="s">
        <v>2</v>
      </c>
      <c r="S2" s="24" t="s">
        <v>340</v>
      </c>
      <c r="T2" s="24" t="s">
        <v>339</v>
      </c>
      <c r="U2" s="5" t="s">
        <v>334</v>
      </c>
      <c r="V2" s="5" t="s">
        <v>466</v>
      </c>
      <c r="W2" s="5" t="s">
        <v>335</v>
      </c>
    </row>
    <row r="3" spans="1:23" ht="18.399999999999999" customHeight="1" x14ac:dyDescent="0.3">
      <c r="A3" s="97">
        <v>1</v>
      </c>
      <c r="B3" s="1" t="s">
        <v>495</v>
      </c>
      <c r="C3" s="12"/>
      <c r="D3" s="12"/>
      <c r="E3" s="12"/>
      <c r="F3" s="12">
        <v>250000</v>
      </c>
      <c r="G3" s="12">
        <v>100000</v>
      </c>
      <c r="H3" s="12"/>
      <c r="I3" s="12"/>
      <c r="J3" s="80"/>
      <c r="K3" s="12"/>
      <c r="L3" s="12"/>
      <c r="M3" s="12"/>
      <c r="N3" s="12"/>
      <c r="O3" s="12">
        <f t="shared" ref="O3:O34" si="0">SUM(C3:N3)</f>
        <v>350000</v>
      </c>
      <c r="P3" s="2">
        <v>200000</v>
      </c>
      <c r="Q3" s="3">
        <v>50000</v>
      </c>
      <c r="R3" s="12">
        <v>100000</v>
      </c>
      <c r="S3" s="26">
        <f>R3-T3</f>
        <v>100000</v>
      </c>
      <c r="T3" s="26">
        <v>0</v>
      </c>
      <c r="U3" s="22">
        <f>O3-(P3+Q3+R3)</f>
        <v>0</v>
      </c>
      <c r="V3" s="22"/>
      <c r="W3" s="11">
        <f>P3/100000</f>
        <v>2</v>
      </c>
    </row>
    <row r="4" spans="1:23" ht="18.75" x14ac:dyDescent="0.3">
      <c r="A4" s="97">
        <v>2</v>
      </c>
      <c r="B4" s="1" t="s">
        <v>519</v>
      </c>
      <c r="C4" s="12"/>
      <c r="D4" s="12"/>
      <c r="E4" s="12"/>
      <c r="F4" s="12"/>
      <c r="G4" s="12">
        <v>550000</v>
      </c>
      <c r="H4" s="12"/>
      <c r="I4" s="12"/>
      <c r="J4" s="12"/>
      <c r="K4" s="12"/>
      <c r="L4" s="12"/>
      <c r="M4" s="12"/>
      <c r="N4" s="12"/>
      <c r="O4" s="12">
        <f t="shared" si="0"/>
        <v>550000</v>
      </c>
      <c r="P4" s="2">
        <v>500000</v>
      </c>
      <c r="Q4" s="3">
        <v>50000</v>
      </c>
      <c r="R4" s="12"/>
      <c r="S4" s="26">
        <f>R4-T4</f>
        <v>0</v>
      </c>
      <c r="T4" s="26">
        <v>0</v>
      </c>
      <c r="U4" s="22">
        <f>O4-(P4+Q4+R4)</f>
        <v>0</v>
      </c>
      <c r="V4" s="22"/>
      <c r="W4" s="11">
        <f t="shared" ref="W4:W67" si="1">P4/100000</f>
        <v>5</v>
      </c>
    </row>
    <row r="5" spans="1:23" ht="18.399999999999999" customHeight="1" x14ac:dyDescent="0.3">
      <c r="A5" s="97">
        <v>3</v>
      </c>
      <c r="B5" s="1" t="s">
        <v>609</v>
      </c>
      <c r="C5" s="12"/>
      <c r="D5" s="12"/>
      <c r="E5" s="12"/>
      <c r="F5" s="12"/>
      <c r="G5" s="12"/>
      <c r="H5" s="12">
        <v>250000</v>
      </c>
      <c r="I5" s="12"/>
      <c r="J5" s="12"/>
      <c r="K5" s="12"/>
      <c r="L5" s="12"/>
      <c r="M5" s="12"/>
      <c r="N5" s="12"/>
      <c r="O5" s="12">
        <f t="shared" si="0"/>
        <v>250000</v>
      </c>
      <c r="P5" s="2">
        <v>200000</v>
      </c>
      <c r="Q5" s="3">
        <v>50000</v>
      </c>
      <c r="R5" s="12"/>
      <c r="S5" s="26">
        <f>R5-T5</f>
        <v>0</v>
      </c>
      <c r="T5" s="26"/>
      <c r="U5" s="22"/>
      <c r="V5" s="22"/>
      <c r="W5" s="11">
        <f t="shared" si="1"/>
        <v>2</v>
      </c>
    </row>
    <row r="6" spans="1:23" ht="18.399999999999999" customHeight="1" x14ac:dyDescent="0.3">
      <c r="A6" s="97">
        <v>4</v>
      </c>
      <c r="B6" s="1" t="s">
        <v>511</v>
      </c>
      <c r="C6" s="12"/>
      <c r="D6" s="12"/>
      <c r="E6" s="12"/>
      <c r="F6" s="12"/>
      <c r="G6" s="12">
        <f>100000+150000</f>
        <v>250000</v>
      </c>
      <c r="H6" s="12"/>
      <c r="I6" s="12"/>
      <c r="J6" s="12"/>
      <c r="K6" s="12"/>
      <c r="L6" s="12"/>
      <c r="M6" s="12"/>
      <c r="N6" s="12"/>
      <c r="O6" s="12">
        <f t="shared" si="0"/>
        <v>250000</v>
      </c>
      <c r="P6" s="2">
        <f>100000+100000</f>
        <v>200000</v>
      </c>
      <c r="Q6" s="3">
        <v>50000</v>
      </c>
      <c r="R6" s="12"/>
      <c r="S6" s="26">
        <f t="shared" ref="S6:S22" si="2">R6-T6</f>
        <v>0</v>
      </c>
      <c r="T6" s="26">
        <v>0</v>
      </c>
      <c r="U6" s="22">
        <f t="shared" ref="U6:U21" si="3">O6-(P6+Q6+R6)</f>
        <v>0</v>
      </c>
      <c r="V6" s="22"/>
      <c r="W6" s="11">
        <f t="shared" si="1"/>
        <v>2</v>
      </c>
    </row>
    <row r="7" spans="1:23" ht="18.399999999999999" customHeight="1" x14ac:dyDescent="0.3">
      <c r="A7" s="97">
        <v>5</v>
      </c>
      <c r="B7" s="1" t="s">
        <v>552</v>
      </c>
      <c r="C7" s="12"/>
      <c r="D7" s="12"/>
      <c r="E7" s="12"/>
      <c r="F7" s="12"/>
      <c r="G7" s="12"/>
      <c r="H7" s="12">
        <v>150000</v>
      </c>
      <c r="I7" s="12"/>
      <c r="J7" s="12"/>
      <c r="K7" s="12"/>
      <c r="L7" s="12"/>
      <c r="M7" s="12"/>
      <c r="N7" s="12"/>
      <c r="O7" s="12">
        <f t="shared" si="0"/>
        <v>150000</v>
      </c>
      <c r="P7" s="2">
        <v>100000</v>
      </c>
      <c r="Q7" s="3">
        <v>50000</v>
      </c>
      <c r="R7" s="12"/>
      <c r="S7" s="26">
        <f t="shared" si="2"/>
        <v>0</v>
      </c>
      <c r="T7" s="26">
        <v>0</v>
      </c>
      <c r="U7" s="22">
        <f t="shared" si="3"/>
        <v>0</v>
      </c>
      <c r="V7" s="22"/>
      <c r="W7" s="11">
        <f t="shared" si="1"/>
        <v>1</v>
      </c>
    </row>
    <row r="8" spans="1:23" ht="18.399999999999999" customHeight="1" x14ac:dyDescent="0.3">
      <c r="A8" s="1">
        <v>6</v>
      </c>
      <c r="B8" s="1" t="s">
        <v>524</v>
      </c>
      <c r="C8" s="12"/>
      <c r="D8" s="12"/>
      <c r="E8" s="12"/>
      <c r="F8" s="12"/>
      <c r="G8" s="12">
        <v>250000</v>
      </c>
      <c r="H8" s="12"/>
      <c r="I8" s="12"/>
      <c r="J8" s="12"/>
      <c r="K8" s="12"/>
      <c r="L8" s="12"/>
      <c r="M8" s="12"/>
      <c r="N8" s="12"/>
      <c r="O8" s="12">
        <f t="shared" si="0"/>
        <v>250000</v>
      </c>
      <c r="P8" s="2">
        <v>200000</v>
      </c>
      <c r="Q8" s="3">
        <v>50000</v>
      </c>
      <c r="R8" s="12"/>
      <c r="S8" s="26">
        <f t="shared" si="2"/>
        <v>0</v>
      </c>
      <c r="T8" s="26">
        <v>0</v>
      </c>
      <c r="U8" s="22">
        <f t="shared" si="3"/>
        <v>0</v>
      </c>
      <c r="V8" s="22"/>
      <c r="W8" s="11">
        <f t="shared" si="1"/>
        <v>2</v>
      </c>
    </row>
    <row r="9" spans="1:23" ht="18.399999999999999" customHeight="1" x14ac:dyDescent="0.3">
      <c r="A9" s="1">
        <v>7</v>
      </c>
      <c r="B9" s="1" t="s">
        <v>14</v>
      </c>
      <c r="C9" s="12"/>
      <c r="D9" s="12"/>
      <c r="E9" s="12"/>
      <c r="F9" s="12"/>
      <c r="G9" s="12">
        <v>5000000</v>
      </c>
      <c r="H9" s="12"/>
      <c r="I9" s="12"/>
      <c r="J9" s="12"/>
      <c r="K9" s="12"/>
      <c r="L9" s="12"/>
      <c r="M9" s="12"/>
      <c r="N9" s="12"/>
      <c r="O9" s="12">
        <f t="shared" si="0"/>
        <v>5000000</v>
      </c>
      <c r="P9" s="2">
        <v>5000000</v>
      </c>
      <c r="Q9" s="3"/>
      <c r="R9" s="12"/>
      <c r="S9" s="26">
        <f t="shared" si="2"/>
        <v>0</v>
      </c>
      <c r="T9" s="26">
        <v>0</v>
      </c>
      <c r="U9" s="22">
        <f t="shared" si="3"/>
        <v>0</v>
      </c>
      <c r="V9" s="22"/>
      <c r="W9" s="11">
        <f t="shared" si="1"/>
        <v>50</v>
      </c>
    </row>
    <row r="10" spans="1:23" ht="18.399999999999999" customHeight="1" x14ac:dyDescent="0.3">
      <c r="A10" s="1">
        <v>8</v>
      </c>
      <c r="B10" s="1" t="s">
        <v>547</v>
      </c>
      <c r="C10" s="12"/>
      <c r="D10" s="12"/>
      <c r="E10" s="12"/>
      <c r="F10" s="12"/>
      <c r="G10" s="12">
        <v>50000</v>
      </c>
      <c r="H10" s="12"/>
      <c r="I10" s="12"/>
      <c r="J10" s="12"/>
      <c r="K10" s="12"/>
      <c r="L10" s="12"/>
      <c r="M10" s="12"/>
      <c r="N10" s="12"/>
      <c r="O10" s="12">
        <f t="shared" si="0"/>
        <v>50000</v>
      </c>
      <c r="P10" s="2"/>
      <c r="Q10" s="3">
        <v>50000</v>
      </c>
      <c r="R10" s="12"/>
      <c r="S10" s="26">
        <f t="shared" si="2"/>
        <v>0</v>
      </c>
      <c r="T10" s="26">
        <v>0</v>
      </c>
      <c r="U10" s="22">
        <f t="shared" si="3"/>
        <v>0</v>
      </c>
      <c r="V10" s="22"/>
      <c r="W10" s="11">
        <f t="shared" si="1"/>
        <v>0</v>
      </c>
    </row>
    <row r="11" spans="1:23" ht="18.399999999999999" customHeight="1" x14ac:dyDescent="0.3">
      <c r="A11" s="1">
        <v>9</v>
      </c>
      <c r="B11" s="1" t="s">
        <v>589</v>
      </c>
      <c r="C11" s="12"/>
      <c r="D11" s="12"/>
      <c r="E11" s="12"/>
      <c r="F11" s="12"/>
      <c r="G11" s="12"/>
      <c r="H11" s="12">
        <v>150000</v>
      </c>
      <c r="I11" s="12"/>
      <c r="J11" s="12"/>
      <c r="K11" s="12"/>
      <c r="L11" s="12"/>
      <c r="M11" s="12"/>
      <c r="N11" s="12"/>
      <c r="O11" s="12">
        <f t="shared" si="0"/>
        <v>150000</v>
      </c>
      <c r="P11" s="2">
        <v>100000</v>
      </c>
      <c r="Q11" s="3">
        <v>50000</v>
      </c>
      <c r="R11" s="12"/>
      <c r="S11" s="26">
        <f t="shared" si="2"/>
        <v>0</v>
      </c>
      <c r="T11" s="26"/>
      <c r="U11" s="22">
        <f t="shared" si="3"/>
        <v>0</v>
      </c>
      <c r="V11" s="22"/>
      <c r="W11" s="11">
        <f t="shared" si="1"/>
        <v>1</v>
      </c>
    </row>
    <row r="12" spans="1:23" ht="18.399999999999999" customHeight="1" x14ac:dyDescent="0.3">
      <c r="A12" s="1">
        <v>10</v>
      </c>
      <c r="B12" s="1" t="s">
        <v>23</v>
      </c>
      <c r="C12" s="12"/>
      <c r="D12" s="12"/>
      <c r="E12" s="12"/>
      <c r="F12" s="12"/>
      <c r="G12" s="12">
        <v>200000</v>
      </c>
      <c r="H12" s="12"/>
      <c r="I12" s="12"/>
      <c r="J12" s="12"/>
      <c r="K12" s="12"/>
      <c r="L12" s="12"/>
      <c r="M12" s="12"/>
      <c r="N12" s="12"/>
      <c r="O12" s="12">
        <f t="shared" si="0"/>
        <v>200000</v>
      </c>
      <c r="P12" s="2">
        <v>200000</v>
      </c>
      <c r="Q12" s="3"/>
      <c r="R12" s="12"/>
      <c r="S12" s="26">
        <f t="shared" si="2"/>
        <v>0</v>
      </c>
      <c r="T12" s="26">
        <v>0</v>
      </c>
      <c r="U12" s="22">
        <f t="shared" si="3"/>
        <v>0</v>
      </c>
      <c r="V12" s="22"/>
      <c r="W12" s="11">
        <f t="shared" si="1"/>
        <v>2</v>
      </c>
    </row>
    <row r="13" spans="1:23" ht="18.75" x14ac:dyDescent="0.3">
      <c r="A13" s="1">
        <v>11</v>
      </c>
      <c r="B13" s="1" t="s">
        <v>480</v>
      </c>
      <c r="C13" s="12"/>
      <c r="D13" s="12"/>
      <c r="E13" s="12">
        <v>150000</v>
      </c>
      <c r="F13" s="12"/>
      <c r="G13" s="12"/>
      <c r="H13" s="12"/>
      <c r="I13" s="12"/>
      <c r="J13" s="12"/>
      <c r="K13" s="12"/>
      <c r="L13" s="12"/>
      <c r="M13" s="12"/>
      <c r="N13" s="12"/>
      <c r="O13" s="12">
        <f t="shared" si="0"/>
        <v>150000</v>
      </c>
      <c r="P13" s="2">
        <v>100000</v>
      </c>
      <c r="Q13" s="3">
        <v>50000</v>
      </c>
      <c r="R13" s="12"/>
      <c r="S13" s="26">
        <f t="shared" si="2"/>
        <v>0</v>
      </c>
      <c r="T13" s="26">
        <v>0</v>
      </c>
      <c r="U13" s="22">
        <f t="shared" si="3"/>
        <v>0</v>
      </c>
      <c r="V13" s="22"/>
      <c r="W13" s="11">
        <f t="shared" si="1"/>
        <v>1</v>
      </c>
    </row>
    <row r="14" spans="1:23" s="143" customFormat="1" ht="18.399999999999999" customHeight="1" x14ac:dyDescent="0.3">
      <c r="A14" s="126">
        <v>12</v>
      </c>
      <c r="B14" s="126" t="s">
        <v>403</v>
      </c>
      <c r="C14" s="113"/>
      <c r="D14" s="113">
        <v>200000</v>
      </c>
      <c r="E14" s="113">
        <v>0</v>
      </c>
      <c r="F14" s="113">
        <v>100000</v>
      </c>
      <c r="G14" s="113">
        <v>100000</v>
      </c>
      <c r="H14" s="113">
        <v>50000</v>
      </c>
      <c r="I14" s="113">
        <v>50000</v>
      </c>
      <c r="J14" s="113"/>
      <c r="K14" s="113"/>
      <c r="L14" s="113"/>
      <c r="M14" s="113"/>
      <c r="N14" s="113"/>
      <c r="O14" s="113">
        <f t="shared" si="0"/>
        <v>500000</v>
      </c>
      <c r="P14" s="127">
        <v>100000</v>
      </c>
      <c r="Q14" s="128">
        <v>50000</v>
      </c>
      <c r="R14" s="129">
        <f>50000+100000+100000+50000+50000</f>
        <v>350000</v>
      </c>
      <c r="S14" s="129">
        <f t="shared" si="2"/>
        <v>350000</v>
      </c>
      <c r="T14" s="129">
        <v>0</v>
      </c>
      <c r="U14" s="130">
        <f t="shared" si="3"/>
        <v>0</v>
      </c>
      <c r="V14" s="130"/>
      <c r="W14" s="131">
        <f t="shared" si="1"/>
        <v>1</v>
      </c>
    </row>
    <row r="15" spans="1:23" ht="18.399999999999999" customHeight="1" x14ac:dyDescent="0.3">
      <c r="A15" s="1">
        <v>13</v>
      </c>
      <c r="B15" s="1" t="s">
        <v>431</v>
      </c>
      <c r="C15" s="12"/>
      <c r="D15" s="12">
        <v>150000</v>
      </c>
      <c r="E15" s="12">
        <v>100000</v>
      </c>
      <c r="F15" s="12"/>
      <c r="G15" s="12"/>
      <c r="H15" s="12"/>
      <c r="I15" s="12"/>
      <c r="J15" s="12"/>
      <c r="K15" s="12"/>
      <c r="L15" s="12"/>
      <c r="M15" s="12"/>
      <c r="N15" s="12"/>
      <c r="O15" s="12">
        <f t="shared" si="0"/>
        <v>250000</v>
      </c>
      <c r="P15" s="6">
        <f>100000+100000</f>
        <v>200000</v>
      </c>
      <c r="Q15" s="6">
        <v>50000</v>
      </c>
      <c r="R15" s="12"/>
      <c r="S15" s="26">
        <f t="shared" si="2"/>
        <v>0</v>
      </c>
      <c r="T15" s="26">
        <v>0</v>
      </c>
      <c r="U15" s="22">
        <f t="shared" si="3"/>
        <v>0</v>
      </c>
      <c r="V15" s="22"/>
      <c r="W15" s="11">
        <f t="shared" si="1"/>
        <v>2</v>
      </c>
    </row>
    <row r="16" spans="1:23" ht="18.95" customHeight="1" thickBot="1" x14ac:dyDescent="0.35">
      <c r="A16" s="1">
        <v>14</v>
      </c>
      <c r="B16" s="88" t="s">
        <v>523</v>
      </c>
      <c r="C16" s="89"/>
      <c r="D16" s="89"/>
      <c r="E16" s="89"/>
      <c r="F16" s="89"/>
      <c r="G16" s="89">
        <v>2670000</v>
      </c>
      <c r="H16" s="89"/>
      <c r="I16" s="89"/>
      <c r="J16" s="89"/>
      <c r="K16" s="89"/>
      <c r="L16" s="89"/>
      <c r="M16" s="89"/>
      <c r="N16" s="89"/>
      <c r="O16" s="12">
        <f t="shared" si="0"/>
        <v>2670000</v>
      </c>
      <c r="P16" s="90">
        <v>2600000</v>
      </c>
      <c r="Q16" s="91">
        <v>50000</v>
      </c>
      <c r="R16" s="12">
        <v>20000</v>
      </c>
      <c r="S16" s="26">
        <f t="shared" si="2"/>
        <v>20000</v>
      </c>
      <c r="T16" s="26">
        <v>0</v>
      </c>
      <c r="U16" s="22">
        <f t="shared" si="3"/>
        <v>0</v>
      </c>
      <c r="V16" s="22"/>
      <c r="W16" s="11">
        <f t="shared" si="1"/>
        <v>26</v>
      </c>
    </row>
    <row r="17" spans="1:23" ht="18.399999999999999" customHeight="1" x14ac:dyDescent="0.3">
      <c r="A17" s="1">
        <v>15</v>
      </c>
      <c r="B17" s="92" t="s">
        <v>29</v>
      </c>
      <c r="C17" s="93"/>
      <c r="D17" s="93"/>
      <c r="E17" s="93">
        <v>200000</v>
      </c>
      <c r="F17" s="93"/>
      <c r="G17" s="93"/>
      <c r="H17" s="93"/>
      <c r="I17" s="93"/>
      <c r="J17" s="93"/>
      <c r="K17" s="93"/>
      <c r="L17" s="93"/>
      <c r="M17" s="93"/>
      <c r="N17" s="93"/>
      <c r="O17" s="12">
        <f t="shared" si="0"/>
        <v>200000</v>
      </c>
      <c r="P17" s="94">
        <v>200000</v>
      </c>
      <c r="Q17" s="95"/>
      <c r="R17" s="12"/>
      <c r="S17" s="26">
        <f t="shared" si="2"/>
        <v>0</v>
      </c>
      <c r="T17" s="26">
        <v>0</v>
      </c>
      <c r="U17" s="22">
        <f t="shared" si="3"/>
        <v>0</v>
      </c>
      <c r="V17" s="22"/>
      <c r="W17" s="11">
        <f t="shared" si="1"/>
        <v>2</v>
      </c>
    </row>
    <row r="18" spans="1:23" ht="18.399999999999999" customHeight="1" x14ac:dyDescent="0.3">
      <c r="A18" s="1">
        <v>16</v>
      </c>
      <c r="B18" s="1" t="s">
        <v>359</v>
      </c>
      <c r="C18" s="12"/>
      <c r="D18" s="12"/>
      <c r="E18" s="12"/>
      <c r="F18" s="12"/>
      <c r="G18" s="12">
        <v>100000</v>
      </c>
      <c r="H18" s="12"/>
      <c r="I18" s="12"/>
      <c r="J18" s="12"/>
      <c r="K18" s="12"/>
      <c r="L18" s="12"/>
      <c r="M18" s="12"/>
      <c r="N18" s="12"/>
      <c r="O18" s="12">
        <f t="shared" si="0"/>
        <v>100000</v>
      </c>
      <c r="P18" s="2">
        <v>100000</v>
      </c>
      <c r="Q18" s="3"/>
      <c r="R18" s="12"/>
      <c r="S18" s="26">
        <f t="shared" si="2"/>
        <v>0</v>
      </c>
      <c r="T18" s="26">
        <v>0</v>
      </c>
      <c r="U18" s="22">
        <f t="shared" si="3"/>
        <v>0</v>
      </c>
      <c r="V18" s="22"/>
      <c r="W18" s="11">
        <f t="shared" si="1"/>
        <v>1</v>
      </c>
    </row>
    <row r="19" spans="1:23" ht="18.399999999999999" customHeight="1" x14ac:dyDescent="0.3">
      <c r="A19" s="1">
        <v>17</v>
      </c>
      <c r="B19" s="1" t="s">
        <v>501</v>
      </c>
      <c r="C19" s="12"/>
      <c r="D19" s="12"/>
      <c r="E19" s="12"/>
      <c r="F19" s="12">
        <v>1000000</v>
      </c>
      <c r="G19" s="12"/>
      <c r="H19" s="12"/>
      <c r="I19" s="12"/>
      <c r="J19" s="12"/>
      <c r="K19" s="12"/>
      <c r="L19" s="12"/>
      <c r="M19" s="12"/>
      <c r="N19" s="12"/>
      <c r="O19" s="12">
        <f t="shared" si="0"/>
        <v>1000000</v>
      </c>
      <c r="P19" s="2">
        <v>1000000</v>
      </c>
      <c r="Q19" s="3"/>
      <c r="R19" s="12"/>
      <c r="S19" s="26">
        <f t="shared" si="2"/>
        <v>0</v>
      </c>
      <c r="T19" s="26">
        <v>0</v>
      </c>
      <c r="U19" s="22">
        <f t="shared" si="3"/>
        <v>0</v>
      </c>
      <c r="V19" s="22"/>
      <c r="W19" s="11">
        <f t="shared" si="1"/>
        <v>10</v>
      </c>
    </row>
    <row r="20" spans="1:23" s="87" customFormat="1" ht="18.399999999999999" customHeight="1" x14ac:dyDescent="0.3">
      <c r="A20" s="53">
        <v>18</v>
      </c>
      <c r="B20" s="1" t="s">
        <v>603</v>
      </c>
      <c r="C20" s="12"/>
      <c r="D20" s="12"/>
      <c r="E20" s="12"/>
      <c r="F20" s="12"/>
      <c r="G20" s="12"/>
      <c r="H20" s="12">
        <v>150000</v>
      </c>
      <c r="I20" s="12"/>
      <c r="J20" s="12"/>
      <c r="K20" s="12"/>
      <c r="L20" s="12"/>
      <c r="M20" s="12"/>
      <c r="N20" s="12"/>
      <c r="O20" s="12">
        <f t="shared" si="0"/>
        <v>150000</v>
      </c>
      <c r="P20" s="2">
        <v>100000</v>
      </c>
      <c r="Q20" s="3">
        <v>50000</v>
      </c>
      <c r="R20" s="12"/>
      <c r="S20" s="26">
        <f t="shared" si="2"/>
        <v>0</v>
      </c>
      <c r="T20" s="26">
        <v>0</v>
      </c>
      <c r="U20" s="22">
        <f t="shared" si="3"/>
        <v>0</v>
      </c>
      <c r="V20" s="22"/>
      <c r="W20" s="11">
        <f t="shared" si="1"/>
        <v>1</v>
      </c>
    </row>
    <row r="21" spans="1:23" ht="18.75" x14ac:dyDescent="0.3">
      <c r="A21" s="1">
        <v>19</v>
      </c>
      <c r="B21" s="1" t="s">
        <v>55</v>
      </c>
      <c r="C21" s="12"/>
      <c r="D21" s="12"/>
      <c r="E21" s="12"/>
      <c r="F21" s="12"/>
      <c r="G21" s="12">
        <v>1000000</v>
      </c>
      <c r="H21" s="12"/>
      <c r="I21" s="12"/>
      <c r="J21" s="12"/>
      <c r="K21" s="12"/>
      <c r="L21" s="12"/>
      <c r="M21" s="12"/>
      <c r="N21" s="12"/>
      <c r="O21" s="12">
        <f t="shared" si="0"/>
        <v>1000000</v>
      </c>
      <c r="P21" s="2">
        <v>1000000</v>
      </c>
      <c r="Q21" s="3"/>
      <c r="R21" s="12"/>
      <c r="S21" s="26">
        <f t="shared" si="2"/>
        <v>0</v>
      </c>
      <c r="T21" s="26">
        <v>0</v>
      </c>
      <c r="U21" s="22">
        <f t="shared" si="3"/>
        <v>0</v>
      </c>
      <c r="V21" s="22"/>
      <c r="W21" s="11">
        <f t="shared" si="1"/>
        <v>10</v>
      </c>
    </row>
    <row r="22" spans="1:23" ht="18.75" x14ac:dyDescent="0.3">
      <c r="A22" s="1">
        <v>20</v>
      </c>
      <c r="B22" s="1" t="s">
        <v>622</v>
      </c>
      <c r="C22" s="12"/>
      <c r="D22" s="12"/>
      <c r="E22" s="12"/>
      <c r="F22" s="12"/>
      <c r="G22" s="12"/>
      <c r="H22" s="12">
        <v>150000</v>
      </c>
      <c r="I22" s="12"/>
      <c r="J22" s="12"/>
      <c r="K22" s="12"/>
      <c r="L22" s="12"/>
      <c r="M22" s="12"/>
      <c r="N22" s="12"/>
      <c r="O22" s="12">
        <f t="shared" si="0"/>
        <v>150000</v>
      </c>
      <c r="P22" s="2">
        <v>100000</v>
      </c>
      <c r="Q22" s="3">
        <v>50000</v>
      </c>
      <c r="R22" s="12"/>
      <c r="S22" s="26">
        <f t="shared" si="2"/>
        <v>0</v>
      </c>
      <c r="T22" s="26"/>
      <c r="U22" s="22"/>
      <c r="V22" s="22"/>
      <c r="W22" s="11">
        <f t="shared" si="1"/>
        <v>1</v>
      </c>
    </row>
    <row r="23" spans="1:23" ht="18.75" x14ac:dyDescent="0.3">
      <c r="A23" s="1">
        <v>21</v>
      </c>
      <c r="B23" s="1" t="s">
        <v>484</v>
      </c>
      <c r="C23" s="12"/>
      <c r="D23" s="12"/>
      <c r="E23" s="12"/>
      <c r="F23" s="12">
        <v>150000</v>
      </c>
      <c r="G23" s="12"/>
      <c r="H23" s="12"/>
      <c r="I23" s="12"/>
      <c r="J23" s="12"/>
      <c r="K23" s="12"/>
      <c r="L23" s="12"/>
      <c r="M23" s="12"/>
      <c r="N23" s="12"/>
      <c r="O23" s="12">
        <f t="shared" si="0"/>
        <v>150000</v>
      </c>
      <c r="P23" s="2">
        <v>100000</v>
      </c>
      <c r="Q23" s="3">
        <v>50000</v>
      </c>
      <c r="R23" s="12"/>
      <c r="S23" s="26">
        <f t="shared" ref="S23:S29" si="4">R23-T23</f>
        <v>0</v>
      </c>
      <c r="T23" s="26">
        <v>0</v>
      </c>
      <c r="U23" s="22">
        <f>O23-(P23+Q23+R23)</f>
        <v>0</v>
      </c>
      <c r="V23" s="22"/>
      <c r="W23" s="11">
        <f t="shared" si="1"/>
        <v>1</v>
      </c>
    </row>
    <row r="24" spans="1:23" ht="18.75" x14ac:dyDescent="0.3">
      <c r="A24" s="1">
        <v>22</v>
      </c>
      <c r="B24" s="1" t="s">
        <v>264</v>
      </c>
      <c r="C24" s="12"/>
      <c r="D24" s="12"/>
      <c r="E24" s="12"/>
      <c r="F24" s="12">
        <v>300000</v>
      </c>
      <c r="G24" s="12"/>
      <c r="H24" s="12"/>
      <c r="I24" s="12"/>
      <c r="J24" s="12"/>
      <c r="K24" s="12"/>
      <c r="L24" s="12"/>
      <c r="M24" s="12"/>
      <c r="N24" s="12"/>
      <c r="O24" s="12">
        <f t="shared" si="0"/>
        <v>300000</v>
      </c>
      <c r="P24" s="2">
        <v>300000</v>
      </c>
      <c r="Q24" s="3"/>
      <c r="R24" s="12"/>
      <c r="S24" s="26">
        <f t="shared" si="4"/>
        <v>0</v>
      </c>
      <c r="T24" s="26">
        <v>0</v>
      </c>
      <c r="U24" s="22">
        <f>O24-(P24+Q24+R24)</f>
        <v>0</v>
      </c>
      <c r="V24" s="22"/>
      <c r="W24" s="11">
        <f t="shared" si="1"/>
        <v>3</v>
      </c>
    </row>
    <row r="25" spans="1:23" ht="18.75" x14ac:dyDescent="0.3">
      <c r="A25" s="1">
        <v>23</v>
      </c>
      <c r="B25" s="1" t="s">
        <v>531</v>
      </c>
      <c r="C25" s="12"/>
      <c r="D25" s="12"/>
      <c r="E25" s="12"/>
      <c r="F25" s="12"/>
      <c r="G25" s="12">
        <f>50000+1000000</f>
        <v>1050000</v>
      </c>
      <c r="H25" s="12"/>
      <c r="I25" s="12"/>
      <c r="J25" s="12"/>
      <c r="K25" s="12"/>
      <c r="L25" s="12"/>
      <c r="M25" s="12"/>
      <c r="N25" s="12"/>
      <c r="O25" s="12">
        <f t="shared" si="0"/>
        <v>1050000</v>
      </c>
      <c r="P25" s="2">
        <v>1000000</v>
      </c>
      <c r="Q25" s="3">
        <v>50000</v>
      </c>
      <c r="R25" s="12"/>
      <c r="S25" s="26">
        <f t="shared" si="4"/>
        <v>0</v>
      </c>
      <c r="T25" s="26">
        <v>0</v>
      </c>
      <c r="U25" s="22">
        <f>O25-(P25+Q25+R25)</f>
        <v>0</v>
      </c>
      <c r="V25" s="22"/>
      <c r="W25" s="11">
        <f t="shared" si="1"/>
        <v>10</v>
      </c>
    </row>
    <row r="26" spans="1:23" ht="18.75" x14ac:dyDescent="0.3">
      <c r="A26" s="1">
        <v>24</v>
      </c>
      <c r="B26" s="1" t="s">
        <v>626</v>
      </c>
      <c r="C26" s="12"/>
      <c r="D26" s="12"/>
      <c r="E26" s="12"/>
      <c r="F26" s="12"/>
      <c r="G26" s="12"/>
      <c r="H26" s="12">
        <v>150000</v>
      </c>
      <c r="I26" s="12"/>
      <c r="J26" s="12"/>
      <c r="K26" s="12"/>
      <c r="L26" s="12"/>
      <c r="M26" s="12"/>
      <c r="N26" s="12"/>
      <c r="O26" s="12">
        <f t="shared" si="0"/>
        <v>150000</v>
      </c>
      <c r="P26" s="2">
        <v>100000</v>
      </c>
      <c r="Q26" s="3">
        <v>50000</v>
      </c>
      <c r="R26" s="12"/>
      <c r="S26" s="26">
        <f t="shared" si="4"/>
        <v>0</v>
      </c>
      <c r="T26" s="26"/>
      <c r="U26" s="22"/>
      <c r="V26" s="22"/>
      <c r="W26" s="11">
        <f t="shared" si="1"/>
        <v>1</v>
      </c>
    </row>
    <row r="27" spans="1:23" ht="18.75" x14ac:dyDescent="0.3">
      <c r="A27" s="1">
        <v>25</v>
      </c>
      <c r="B27" s="1" t="s">
        <v>482</v>
      </c>
      <c r="C27" s="12"/>
      <c r="D27" s="12"/>
      <c r="E27" s="12">
        <v>50000</v>
      </c>
      <c r="F27" s="12">
        <v>500000</v>
      </c>
      <c r="G27" s="12"/>
      <c r="H27" s="12"/>
      <c r="I27" s="12"/>
      <c r="J27" s="12"/>
      <c r="K27" s="12"/>
      <c r="L27" s="12"/>
      <c r="M27" s="12"/>
      <c r="N27" s="12"/>
      <c r="O27" s="12">
        <f t="shared" si="0"/>
        <v>550000</v>
      </c>
      <c r="P27" s="2">
        <v>500000</v>
      </c>
      <c r="Q27" s="3">
        <v>50000</v>
      </c>
      <c r="R27" s="12"/>
      <c r="S27" s="26">
        <f t="shared" si="4"/>
        <v>0</v>
      </c>
      <c r="T27" s="26">
        <v>0</v>
      </c>
      <c r="U27" s="22">
        <f>O27-(P27+Q27+R27)</f>
        <v>0</v>
      </c>
      <c r="V27" s="22"/>
      <c r="W27" s="11">
        <f t="shared" si="1"/>
        <v>5</v>
      </c>
    </row>
    <row r="28" spans="1:23" ht="18.75" x14ac:dyDescent="0.3">
      <c r="A28" s="1">
        <v>26</v>
      </c>
      <c r="B28" s="1" t="s">
        <v>574</v>
      </c>
      <c r="C28" s="12"/>
      <c r="D28" s="12"/>
      <c r="E28" s="12"/>
      <c r="F28" s="12"/>
      <c r="G28" s="12"/>
      <c r="H28" s="12">
        <v>150000</v>
      </c>
      <c r="I28" s="12"/>
      <c r="J28" s="12"/>
      <c r="K28" s="12"/>
      <c r="L28" s="12"/>
      <c r="M28" s="12"/>
      <c r="N28" s="12"/>
      <c r="O28" s="12">
        <f t="shared" si="0"/>
        <v>150000</v>
      </c>
      <c r="P28" s="2">
        <v>100000</v>
      </c>
      <c r="Q28" s="3">
        <v>50000</v>
      </c>
      <c r="R28" s="12"/>
      <c r="S28" s="26">
        <f t="shared" si="4"/>
        <v>0</v>
      </c>
      <c r="T28" s="26">
        <v>0</v>
      </c>
      <c r="U28" s="22">
        <f>O28-(P28+Q28+R28)</f>
        <v>0</v>
      </c>
      <c r="V28" s="22"/>
      <c r="W28" s="11">
        <f t="shared" si="1"/>
        <v>1</v>
      </c>
    </row>
    <row r="29" spans="1:23" ht="18.75" x14ac:dyDescent="0.3">
      <c r="A29" s="1">
        <v>27</v>
      </c>
      <c r="B29" s="1" t="s">
        <v>602</v>
      </c>
      <c r="C29" s="12"/>
      <c r="D29" s="12"/>
      <c r="E29" s="12"/>
      <c r="F29" s="12"/>
      <c r="G29" s="12"/>
      <c r="H29" s="12">
        <v>150000</v>
      </c>
      <c r="I29" s="12"/>
      <c r="J29" s="12"/>
      <c r="K29" s="12"/>
      <c r="L29" s="12"/>
      <c r="M29" s="12"/>
      <c r="N29" s="12"/>
      <c r="O29" s="12">
        <f t="shared" si="0"/>
        <v>150000</v>
      </c>
      <c r="P29" s="2">
        <v>100000</v>
      </c>
      <c r="Q29" s="3">
        <v>50000</v>
      </c>
      <c r="R29" s="12"/>
      <c r="S29" s="26">
        <f t="shared" si="4"/>
        <v>0</v>
      </c>
      <c r="T29" s="26"/>
      <c r="U29" s="22"/>
      <c r="V29" s="22"/>
      <c r="W29" s="11">
        <f t="shared" si="1"/>
        <v>1</v>
      </c>
    </row>
    <row r="30" spans="1:23" ht="18.75" x14ac:dyDescent="0.3">
      <c r="A30" s="1">
        <v>28</v>
      </c>
      <c r="B30" s="1" t="s">
        <v>67</v>
      </c>
      <c r="C30" s="12"/>
      <c r="D30" s="12"/>
      <c r="E30" s="12"/>
      <c r="F30" s="12">
        <v>500000</v>
      </c>
      <c r="G30" s="12"/>
      <c r="H30" s="12"/>
      <c r="I30" s="12"/>
      <c r="J30" s="12"/>
      <c r="K30" s="12"/>
      <c r="L30" s="12"/>
      <c r="M30" s="12"/>
      <c r="N30" s="12"/>
      <c r="O30" s="12">
        <f t="shared" si="0"/>
        <v>500000</v>
      </c>
      <c r="P30" s="2">
        <v>500000</v>
      </c>
      <c r="Q30" s="3"/>
      <c r="R30" s="12"/>
      <c r="S30" s="26">
        <f t="shared" ref="S30:S42" si="5">R30-T30</f>
        <v>0</v>
      </c>
      <c r="T30" s="26">
        <v>0</v>
      </c>
      <c r="U30" s="22">
        <f t="shared" ref="U30:U42" si="6">O30-(P30+Q30+R30)</f>
        <v>0</v>
      </c>
      <c r="V30" s="22"/>
      <c r="W30" s="11">
        <f t="shared" si="1"/>
        <v>5</v>
      </c>
    </row>
    <row r="31" spans="1:23" ht="18.75" x14ac:dyDescent="0.3">
      <c r="A31" s="1">
        <v>29</v>
      </c>
      <c r="B31" s="1" t="s">
        <v>470</v>
      </c>
      <c r="C31" s="12"/>
      <c r="D31" s="12"/>
      <c r="E31" s="12">
        <v>250000</v>
      </c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250000</v>
      </c>
      <c r="P31" s="2">
        <v>200000</v>
      </c>
      <c r="Q31" s="3">
        <v>50000</v>
      </c>
      <c r="R31" s="12"/>
      <c r="S31" s="26">
        <f t="shared" si="5"/>
        <v>0</v>
      </c>
      <c r="T31" s="26">
        <v>0</v>
      </c>
      <c r="U31" s="22">
        <f t="shared" si="6"/>
        <v>0</v>
      </c>
      <c r="V31" s="22"/>
      <c r="W31" s="11">
        <f t="shared" si="1"/>
        <v>2</v>
      </c>
    </row>
    <row r="32" spans="1:23" ht="18.75" x14ac:dyDescent="0.3">
      <c r="A32" s="1">
        <v>30</v>
      </c>
      <c r="B32" s="1" t="s">
        <v>439</v>
      </c>
      <c r="C32" s="12"/>
      <c r="D32" s="12"/>
      <c r="E32" s="12">
        <f>200000+100000+300000</f>
        <v>600000</v>
      </c>
      <c r="F32" s="12">
        <v>500000</v>
      </c>
      <c r="G32" s="12"/>
      <c r="H32" s="12"/>
      <c r="I32" s="12"/>
      <c r="J32" s="12"/>
      <c r="K32" s="12"/>
      <c r="L32" s="12"/>
      <c r="M32" s="12"/>
      <c r="N32" s="12"/>
      <c r="O32" s="12">
        <f t="shared" si="0"/>
        <v>1100000</v>
      </c>
      <c r="P32" s="2">
        <f>200000+100000+300000+500000</f>
        <v>1100000</v>
      </c>
      <c r="Q32" s="3"/>
      <c r="R32" s="12"/>
      <c r="S32" s="26">
        <f t="shared" si="5"/>
        <v>0</v>
      </c>
      <c r="T32" s="26">
        <v>0</v>
      </c>
      <c r="U32" s="22">
        <f t="shared" si="6"/>
        <v>0</v>
      </c>
      <c r="V32" s="22"/>
      <c r="W32" s="11">
        <f t="shared" si="1"/>
        <v>11</v>
      </c>
    </row>
    <row r="33" spans="1:23" ht="18.75" x14ac:dyDescent="0.3">
      <c r="A33" s="1">
        <v>31</v>
      </c>
      <c r="B33" s="1" t="s">
        <v>449</v>
      </c>
      <c r="C33" s="12"/>
      <c r="D33" s="12"/>
      <c r="E33" s="12">
        <v>150000</v>
      </c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150000</v>
      </c>
      <c r="P33" s="2">
        <v>100000</v>
      </c>
      <c r="Q33" s="3">
        <v>50000</v>
      </c>
      <c r="R33" s="12"/>
      <c r="S33" s="26">
        <f t="shared" si="5"/>
        <v>0</v>
      </c>
      <c r="T33" s="26">
        <v>0</v>
      </c>
      <c r="U33" s="22">
        <f t="shared" si="6"/>
        <v>0</v>
      </c>
      <c r="V33" s="22"/>
      <c r="W33" s="11">
        <f t="shared" si="1"/>
        <v>1</v>
      </c>
    </row>
    <row r="34" spans="1:23" ht="19.5" thickBot="1" x14ac:dyDescent="0.35">
      <c r="A34" s="1">
        <v>32</v>
      </c>
      <c r="B34" s="88" t="s">
        <v>545</v>
      </c>
      <c r="C34" s="89"/>
      <c r="D34" s="89"/>
      <c r="E34" s="89"/>
      <c r="F34" s="89"/>
      <c r="G34" s="89">
        <v>150000</v>
      </c>
      <c r="H34" s="89"/>
      <c r="I34" s="89"/>
      <c r="J34" s="96"/>
      <c r="K34" s="89"/>
      <c r="L34" s="89"/>
      <c r="M34" s="89"/>
      <c r="N34" s="89"/>
      <c r="O34" s="12">
        <f t="shared" si="0"/>
        <v>150000</v>
      </c>
      <c r="P34" s="90">
        <v>100000</v>
      </c>
      <c r="Q34" s="91">
        <v>50000</v>
      </c>
      <c r="R34" s="12"/>
      <c r="S34" s="26">
        <f t="shared" si="5"/>
        <v>0</v>
      </c>
      <c r="T34" s="26">
        <v>0</v>
      </c>
      <c r="U34" s="22">
        <f t="shared" si="6"/>
        <v>0</v>
      </c>
      <c r="V34" s="22"/>
      <c r="W34" s="11">
        <f t="shared" si="1"/>
        <v>1</v>
      </c>
    </row>
    <row r="35" spans="1:23" ht="19.5" thickBot="1" x14ac:dyDescent="0.35">
      <c r="A35" s="1">
        <v>33</v>
      </c>
      <c r="B35" s="92" t="s">
        <v>527</v>
      </c>
      <c r="C35" s="93"/>
      <c r="D35" s="93"/>
      <c r="E35" s="93"/>
      <c r="F35" s="93"/>
      <c r="G35" s="93">
        <v>150000</v>
      </c>
      <c r="H35" s="93"/>
      <c r="I35" s="93"/>
      <c r="J35" s="89"/>
      <c r="K35" s="93"/>
      <c r="L35" s="93"/>
      <c r="M35" s="93"/>
      <c r="N35" s="93"/>
      <c r="O35" s="12">
        <f t="shared" ref="O35:O66" si="7">SUM(C35:N35)</f>
        <v>150000</v>
      </c>
      <c r="P35" s="94">
        <v>100000</v>
      </c>
      <c r="Q35" s="95">
        <v>50000</v>
      </c>
      <c r="R35" s="12"/>
      <c r="S35" s="26">
        <f t="shared" si="5"/>
        <v>0</v>
      </c>
      <c r="T35" s="26">
        <v>0</v>
      </c>
      <c r="U35" s="22">
        <f t="shared" si="6"/>
        <v>0</v>
      </c>
      <c r="V35" s="22"/>
      <c r="W35" s="11">
        <f t="shared" si="1"/>
        <v>1</v>
      </c>
    </row>
    <row r="36" spans="1:23" ht="18.75" x14ac:dyDescent="0.3">
      <c r="A36" s="1">
        <v>34</v>
      </c>
      <c r="B36" s="1" t="s">
        <v>503</v>
      </c>
      <c r="C36" s="12"/>
      <c r="D36" s="12"/>
      <c r="E36" s="12"/>
      <c r="F36" s="12"/>
      <c r="G36" s="12">
        <v>150000</v>
      </c>
      <c r="H36" s="12">
        <v>50000</v>
      </c>
      <c r="I36" s="12"/>
      <c r="J36" s="93"/>
      <c r="K36" s="12"/>
      <c r="L36" s="12"/>
      <c r="M36" s="12"/>
      <c r="N36" s="12"/>
      <c r="O36" s="12">
        <f t="shared" si="7"/>
        <v>200000</v>
      </c>
      <c r="P36" s="2">
        <v>100000</v>
      </c>
      <c r="Q36" s="3">
        <v>50000</v>
      </c>
      <c r="R36" s="12">
        <v>50000</v>
      </c>
      <c r="S36" s="26">
        <f t="shared" si="5"/>
        <v>50000</v>
      </c>
      <c r="T36" s="26">
        <v>0</v>
      </c>
      <c r="U36" s="22">
        <f t="shared" si="6"/>
        <v>0</v>
      </c>
      <c r="V36" s="22"/>
      <c r="W36" s="11">
        <f t="shared" si="1"/>
        <v>1</v>
      </c>
    </row>
    <row r="37" spans="1:23" ht="18.75" x14ac:dyDescent="0.3">
      <c r="A37" s="1">
        <v>35</v>
      </c>
      <c r="B37" s="1" t="s">
        <v>442</v>
      </c>
      <c r="C37" s="12"/>
      <c r="D37" s="12"/>
      <c r="E37" s="12">
        <v>150000</v>
      </c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7"/>
        <v>150000</v>
      </c>
      <c r="P37" s="2">
        <v>100000</v>
      </c>
      <c r="Q37" s="3">
        <v>50000</v>
      </c>
      <c r="R37" s="12"/>
      <c r="S37" s="26">
        <f t="shared" si="5"/>
        <v>0</v>
      </c>
      <c r="T37" s="26">
        <v>0</v>
      </c>
      <c r="U37" s="22">
        <f t="shared" si="6"/>
        <v>0</v>
      </c>
      <c r="V37" s="22"/>
      <c r="W37" s="11">
        <f t="shared" si="1"/>
        <v>1</v>
      </c>
    </row>
    <row r="38" spans="1:23" ht="18.75" x14ac:dyDescent="0.3">
      <c r="A38" s="1">
        <v>36</v>
      </c>
      <c r="B38" s="1" t="s">
        <v>486</v>
      </c>
      <c r="C38" s="12"/>
      <c r="D38" s="12"/>
      <c r="E38" s="12"/>
      <c r="F38" s="12">
        <v>500000</v>
      </c>
      <c r="G38" s="12"/>
      <c r="H38" s="12"/>
      <c r="I38" s="12"/>
      <c r="J38" s="12"/>
      <c r="K38" s="12"/>
      <c r="L38" s="12"/>
      <c r="M38" s="12"/>
      <c r="N38" s="12"/>
      <c r="O38" s="12">
        <f t="shared" si="7"/>
        <v>500000</v>
      </c>
      <c r="P38" s="2">
        <v>400000</v>
      </c>
      <c r="Q38" s="3">
        <v>50000</v>
      </c>
      <c r="R38" s="12">
        <v>50000</v>
      </c>
      <c r="S38" s="26">
        <f t="shared" si="5"/>
        <v>50000</v>
      </c>
      <c r="T38" s="26">
        <v>0</v>
      </c>
      <c r="U38" s="22">
        <f t="shared" si="6"/>
        <v>0</v>
      </c>
      <c r="V38" s="22"/>
      <c r="W38" s="11">
        <f t="shared" si="1"/>
        <v>4</v>
      </c>
    </row>
    <row r="39" spans="1:23" ht="18.75" x14ac:dyDescent="0.3">
      <c r="A39" s="1">
        <v>37</v>
      </c>
      <c r="B39" s="1" t="s">
        <v>436</v>
      </c>
      <c r="C39" s="12"/>
      <c r="D39" s="12">
        <v>50000</v>
      </c>
      <c r="E39" s="12">
        <v>200000</v>
      </c>
      <c r="F39" s="12">
        <v>300000</v>
      </c>
      <c r="G39" s="12">
        <v>100000</v>
      </c>
      <c r="H39" s="12"/>
      <c r="I39" s="12"/>
      <c r="J39" s="12"/>
      <c r="K39" s="12"/>
      <c r="L39" s="12"/>
      <c r="M39" s="12"/>
      <c r="N39" s="12"/>
      <c r="O39" s="12">
        <f t="shared" si="7"/>
        <v>650000</v>
      </c>
      <c r="P39" s="2">
        <f>200000+300000</f>
        <v>500000</v>
      </c>
      <c r="Q39" s="3">
        <v>50000</v>
      </c>
      <c r="R39" s="12">
        <v>100000</v>
      </c>
      <c r="S39" s="26">
        <f t="shared" si="5"/>
        <v>100000</v>
      </c>
      <c r="T39" s="26">
        <v>0</v>
      </c>
      <c r="U39" s="22">
        <f t="shared" si="6"/>
        <v>0</v>
      </c>
      <c r="V39" s="22"/>
      <c r="W39" s="11">
        <f t="shared" si="1"/>
        <v>5</v>
      </c>
    </row>
    <row r="40" spans="1:23" s="202" customFormat="1" ht="18.75" x14ac:dyDescent="0.3">
      <c r="A40" s="194">
        <v>38</v>
      </c>
      <c r="B40" s="194" t="s">
        <v>483</v>
      </c>
      <c r="C40" s="195"/>
      <c r="D40" s="195"/>
      <c r="E40" s="195"/>
      <c r="F40" s="195">
        <f>350000+100000</f>
        <v>450000</v>
      </c>
      <c r="G40" s="195">
        <v>100000</v>
      </c>
      <c r="H40" s="195">
        <v>100000</v>
      </c>
      <c r="I40" s="195">
        <v>100000</v>
      </c>
      <c r="J40" s="195"/>
      <c r="K40" s="195"/>
      <c r="L40" s="195"/>
      <c r="M40" s="195"/>
      <c r="N40" s="195"/>
      <c r="O40" s="195">
        <f t="shared" si="7"/>
        <v>750000</v>
      </c>
      <c r="P40" s="196">
        <v>300000</v>
      </c>
      <c r="Q40" s="197">
        <v>50000</v>
      </c>
      <c r="R40" s="195">
        <f>100000+100000+100000+100000</f>
        <v>400000</v>
      </c>
      <c r="S40" s="198">
        <f t="shared" si="5"/>
        <v>400000</v>
      </c>
      <c r="T40" s="198">
        <v>0</v>
      </c>
      <c r="U40" s="199">
        <f t="shared" si="6"/>
        <v>0</v>
      </c>
      <c r="V40" s="199"/>
      <c r="W40" s="200">
        <f t="shared" si="1"/>
        <v>3</v>
      </c>
    </row>
    <row r="41" spans="1:23" ht="18.75" x14ac:dyDescent="0.3">
      <c r="A41" s="1">
        <v>39</v>
      </c>
      <c r="B41" s="1" t="s">
        <v>583</v>
      </c>
      <c r="C41" s="12"/>
      <c r="D41" s="12"/>
      <c r="E41" s="12"/>
      <c r="F41" s="12"/>
      <c r="G41" s="12"/>
      <c r="H41" s="12">
        <v>150000</v>
      </c>
      <c r="I41" s="12"/>
      <c r="J41" s="12"/>
      <c r="K41" s="12"/>
      <c r="L41" s="12"/>
      <c r="M41" s="12"/>
      <c r="N41" s="12"/>
      <c r="O41" s="12">
        <f t="shared" si="7"/>
        <v>150000</v>
      </c>
      <c r="P41" s="2">
        <v>100000</v>
      </c>
      <c r="Q41" s="3">
        <v>50000</v>
      </c>
      <c r="R41" s="12"/>
      <c r="S41" s="26">
        <f t="shared" si="5"/>
        <v>0</v>
      </c>
      <c r="T41" s="26">
        <v>0</v>
      </c>
      <c r="U41" s="22">
        <f t="shared" si="6"/>
        <v>0</v>
      </c>
      <c r="V41" s="22"/>
      <c r="W41" s="11">
        <f t="shared" si="1"/>
        <v>1</v>
      </c>
    </row>
    <row r="42" spans="1:23" s="202" customFormat="1" ht="18.75" x14ac:dyDescent="0.3">
      <c r="A42" s="194">
        <v>40</v>
      </c>
      <c r="B42" s="194" t="s">
        <v>617</v>
      </c>
      <c r="C42" s="195"/>
      <c r="D42" s="195"/>
      <c r="E42" s="195"/>
      <c r="F42" s="195"/>
      <c r="G42" s="195"/>
      <c r="H42" s="195">
        <v>100000</v>
      </c>
      <c r="I42" s="195">
        <v>50000</v>
      </c>
      <c r="J42" s="195"/>
      <c r="K42" s="195"/>
      <c r="L42" s="195"/>
      <c r="M42" s="195"/>
      <c r="N42" s="195"/>
      <c r="O42" s="195">
        <f t="shared" si="7"/>
        <v>150000</v>
      </c>
      <c r="P42" s="196">
        <v>100000</v>
      </c>
      <c r="Q42" s="197">
        <v>50000</v>
      </c>
      <c r="R42" s="195"/>
      <c r="S42" s="198">
        <f t="shared" si="5"/>
        <v>0</v>
      </c>
      <c r="T42" s="198"/>
      <c r="U42" s="199">
        <f t="shared" si="6"/>
        <v>0</v>
      </c>
      <c r="V42" s="199"/>
      <c r="W42" s="200">
        <f t="shared" si="1"/>
        <v>1</v>
      </c>
    </row>
    <row r="43" spans="1:23" ht="18.75" x14ac:dyDescent="0.3">
      <c r="A43" s="1">
        <v>41</v>
      </c>
      <c r="B43" s="1" t="s">
        <v>464</v>
      </c>
      <c r="C43" s="12"/>
      <c r="D43" s="12"/>
      <c r="E43" s="12">
        <v>150000</v>
      </c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7"/>
        <v>150000</v>
      </c>
      <c r="P43" s="2">
        <v>100000</v>
      </c>
      <c r="Q43" s="3">
        <v>50000</v>
      </c>
      <c r="R43" s="12"/>
      <c r="S43" s="26">
        <f t="shared" ref="S43:S48" si="8">R43-T43</f>
        <v>0</v>
      </c>
      <c r="T43" s="26">
        <v>0</v>
      </c>
      <c r="U43" s="22">
        <f t="shared" ref="U43:U54" si="9">O43-(P43+Q43+R43)</f>
        <v>0</v>
      </c>
      <c r="V43" s="22"/>
      <c r="W43" s="11">
        <f t="shared" si="1"/>
        <v>1</v>
      </c>
    </row>
    <row r="44" spans="1:23" ht="18.75" x14ac:dyDescent="0.3">
      <c r="A44" s="1">
        <v>42</v>
      </c>
      <c r="B44" s="1" t="s">
        <v>579</v>
      </c>
      <c r="C44" s="12"/>
      <c r="D44" s="12"/>
      <c r="E44" s="12"/>
      <c r="F44" s="12"/>
      <c r="G44" s="12"/>
      <c r="H44" s="12">
        <v>150000</v>
      </c>
      <c r="I44" s="12"/>
      <c r="J44" s="12"/>
      <c r="K44" s="12"/>
      <c r="L44" s="12"/>
      <c r="M44" s="12"/>
      <c r="N44" s="12"/>
      <c r="O44" s="12">
        <f t="shared" si="7"/>
        <v>150000</v>
      </c>
      <c r="P44" s="2">
        <v>100000</v>
      </c>
      <c r="Q44" s="3">
        <v>50000</v>
      </c>
      <c r="R44" s="12"/>
      <c r="S44" s="26">
        <f t="shared" si="8"/>
        <v>0</v>
      </c>
      <c r="T44" s="26">
        <v>0</v>
      </c>
      <c r="U44" s="22">
        <f t="shared" si="9"/>
        <v>0</v>
      </c>
      <c r="V44" s="22"/>
      <c r="W44" s="11">
        <f t="shared" si="1"/>
        <v>1</v>
      </c>
    </row>
    <row r="45" spans="1:23" ht="18.75" x14ac:dyDescent="0.3">
      <c r="A45" s="1">
        <v>43</v>
      </c>
      <c r="B45" s="1" t="s">
        <v>562</v>
      </c>
      <c r="C45" s="12"/>
      <c r="D45" s="12"/>
      <c r="E45" s="12"/>
      <c r="F45" s="12"/>
      <c r="G45" s="12"/>
      <c r="H45" s="12">
        <v>150000</v>
      </c>
      <c r="I45" s="12"/>
      <c r="J45" s="12"/>
      <c r="K45" s="12"/>
      <c r="L45" s="12"/>
      <c r="M45" s="12"/>
      <c r="N45" s="12"/>
      <c r="O45" s="12">
        <f t="shared" si="7"/>
        <v>150000</v>
      </c>
      <c r="P45" s="2">
        <v>100000</v>
      </c>
      <c r="Q45" s="3">
        <v>50000</v>
      </c>
      <c r="R45" s="12"/>
      <c r="S45" s="26">
        <f t="shared" si="8"/>
        <v>0</v>
      </c>
      <c r="T45" s="26">
        <v>0</v>
      </c>
      <c r="U45" s="22">
        <f t="shared" si="9"/>
        <v>0</v>
      </c>
      <c r="V45" s="22"/>
      <c r="W45" s="11">
        <f t="shared" si="1"/>
        <v>1</v>
      </c>
    </row>
    <row r="46" spans="1:23" ht="18.75" x14ac:dyDescent="0.3">
      <c r="A46" s="1">
        <v>44</v>
      </c>
      <c r="B46" s="1" t="s">
        <v>539</v>
      </c>
      <c r="C46" s="12"/>
      <c r="D46" s="12">
        <v>150000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>
        <f t="shared" si="7"/>
        <v>150000</v>
      </c>
      <c r="P46" s="2">
        <v>100000</v>
      </c>
      <c r="Q46" s="3">
        <v>50000</v>
      </c>
      <c r="R46" s="12"/>
      <c r="S46" s="26">
        <f t="shared" si="8"/>
        <v>0</v>
      </c>
      <c r="T46" s="26">
        <v>0</v>
      </c>
      <c r="U46" s="22">
        <f t="shared" si="9"/>
        <v>0</v>
      </c>
      <c r="V46" s="22"/>
      <c r="W46" s="11">
        <f t="shared" si="1"/>
        <v>1</v>
      </c>
    </row>
    <row r="47" spans="1:23" ht="18.75" x14ac:dyDescent="0.3">
      <c r="A47" s="1">
        <v>45</v>
      </c>
      <c r="B47" s="1" t="s">
        <v>560</v>
      </c>
      <c r="C47" s="12"/>
      <c r="D47" s="12"/>
      <c r="E47" s="12"/>
      <c r="F47" s="12"/>
      <c r="G47" s="12"/>
      <c r="H47" s="12">
        <v>150000</v>
      </c>
      <c r="I47" s="12"/>
      <c r="J47" s="12"/>
      <c r="K47" s="12"/>
      <c r="L47" s="12"/>
      <c r="M47" s="12"/>
      <c r="N47" s="12"/>
      <c r="O47" s="12">
        <f t="shared" si="7"/>
        <v>150000</v>
      </c>
      <c r="P47" s="2">
        <v>100000</v>
      </c>
      <c r="Q47" s="3">
        <v>50000</v>
      </c>
      <c r="R47" s="12"/>
      <c r="S47" s="26">
        <f t="shared" si="8"/>
        <v>0</v>
      </c>
      <c r="T47" s="26">
        <v>0</v>
      </c>
      <c r="U47" s="22">
        <f t="shared" si="9"/>
        <v>0</v>
      </c>
      <c r="V47" s="22"/>
      <c r="W47" s="11">
        <f t="shared" si="1"/>
        <v>1</v>
      </c>
    </row>
    <row r="48" spans="1:23" ht="18.75" x14ac:dyDescent="0.3">
      <c r="A48" s="1">
        <v>46</v>
      </c>
      <c r="B48" s="1" t="s">
        <v>521</v>
      </c>
      <c r="C48" s="12"/>
      <c r="D48" s="12"/>
      <c r="E48" s="12"/>
      <c r="F48" s="12"/>
      <c r="G48" s="12">
        <v>450000</v>
      </c>
      <c r="H48" s="12"/>
      <c r="I48" s="12"/>
      <c r="J48" s="12"/>
      <c r="K48" s="12"/>
      <c r="L48" s="12"/>
      <c r="M48" s="12"/>
      <c r="N48" s="12"/>
      <c r="O48" s="12">
        <f t="shared" si="7"/>
        <v>450000</v>
      </c>
      <c r="P48" s="2">
        <v>400000</v>
      </c>
      <c r="Q48" s="3">
        <v>50000</v>
      </c>
      <c r="R48" s="12"/>
      <c r="S48" s="26">
        <f t="shared" si="8"/>
        <v>0</v>
      </c>
      <c r="T48" s="26">
        <v>0</v>
      </c>
      <c r="U48" s="22">
        <f t="shared" si="9"/>
        <v>0</v>
      </c>
      <c r="V48" s="22"/>
      <c r="W48" s="11">
        <f t="shared" si="1"/>
        <v>4</v>
      </c>
    </row>
    <row r="49" spans="1:23" ht="18.75" x14ac:dyDescent="0.3">
      <c r="A49" s="1">
        <v>47</v>
      </c>
      <c r="B49" s="1" t="s">
        <v>529</v>
      </c>
      <c r="C49" s="12"/>
      <c r="D49" s="12"/>
      <c r="E49" s="12"/>
      <c r="F49" s="12"/>
      <c r="G49" s="12">
        <v>150000</v>
      </c>
      <c r="H49" s="12"/>
      <c r="I49" s="12"/>
      <c r="J49" s="12"/>
      <c r="K49" s="12"/>
      <c r="L49" s="12"/>
      <c r="M49" s="12"/>
      <c r="N49" s="12"/>
      <c r="O49" s="12">
        <f t="shared" si="7"/>
        <v>150000</v>
      </c>
      <c r="P49" s="2">
        <v>100000</v>
      </c>
      <c r="Q49" s="3">
        <v>50000</v>
      </c>
      <c r="R49" s="12"/>
      <c r="S49" s="26">
        <f t="shared" ref="S49:S77" si="10">R49-T49</f>
        <v>0</v>
      </c>
      <c r="T49" s="26">
        <v>0</v>
      </c>
      <c r="U49" s="22">
        <f t="shared" si="9"/>
        <v>0</v>
      </c>
      <c r="V49" s="22"/>
      <c r="W49" s="11">
        <f t="shared" si="1"/>
        <v>1</v>
      </c>
    </row>
    <row r="50" spans="1:23" ht="18.75" x14ac:dyDescent="0.3">
      <c r="A50" s="1">
        <v>48</v>
      </c>
      <c r="B50" s="1" t="s">
        <v>518</v>
      </c>
      <c r="C50" s="12"/>
      <c r="D50" s="12"/>
      <c r="E50" s="12"/>
      <c r="F50" s="12"/>
      <c r="G50" s="12">
        <v>150000</v>
      </c>
      <c r="H50" s="12"/>
      <c r="I50" s="12"/>
      <c r="J50" s="12"/>
      <c r="K50" s="12"/>
      <c r="L50" s="12"/>
      <c r="M50" s="12"/>
      <c r="N50" s="12"/>
      <c r="O50" s="12">
        <f t="shared" si="7"/>
        <v>150000</v>
      </c>
      <c r="P50" s="2">
        <v>100000</v>
      </c>
      <c r="Q50" s="3">
        <v>50000</v>
      </c>
      <c r="R50" s="12"/>
      <c r="S50" s="26">
        <f t="shared" si="10"/>
        <v>0</v>
      </c>
      <c r="T50" s="26">
        <v>0</v>
      </c>
      <c r="U50" s="22">
        <f t="shared" si="9"/>
        <v>0</v>
      </c>
      <c r="V50" s="22"/>
      <c r="W50" s="11">
        <f t="shared" si="1"/>
        <v>1</v>
      </c>
    </row>
    <row r="51" spans="1:23" s="165" customFormat="1" ht="18.75" x14ac:dyDescent="0.3">
      <c r="A51" s="156">
        <v>49</v>
      </c>
      <c r="B51" s="156" t="s">
        <v>525</v>
      </c>
      <c r="C51" s="157"/>
      <c r="D51" s="157"/>
      <c r="E51" s="157"/>
      <c r="F51" s="157"/>
      <c r="G51" s="157">
        <v>150000</v>
      </c>
      <c r="H51" s="157">
        <v>50000</v>
      </c>
      <c r="I51" s="157">
        <v>100000</v>
      </c>
      <c r="J51" s="157"/>
      <c r="K51" s="157"/>
      <c r="L51" s="157"/>
      <c r="M51" s="157"/>
      <c r="N51" s="157"/>
      <c r="O51" s="157">
        <f t="shared" si="7"/>
        <v>300000</v>
      </c>
      <c r="P51" s="158">
        <v>100000</v>
      </c>
      <c r="Q51" s="159">
        <v>50000</v>
      </c>
      <c r="R51" s="157">
        <f>50000+100000</f>
        <v>150000</v>
      </c>
      <c r="S51" s="160">
        <f t="shared" si="10"/>
        <v>150000</v>
      </c>
      <c r="T51" s="160">
        <v>0</v>
      </c>
      <c r="U51" s="161">
        <f t="shared" si="9"/>
        <v>0</v>
      </c>
      <c r="V51" s="161"/>
      <c r="W51" s="162">
        <f t="shared" si="1"/>
        <v>1</v>
      </c>
    </row>
    <row r="52" spans="1:23" ht="18.75" x14ac:dyDescent="0.3">
      <c r="A52" s="1">
        <v>50</v>
      </c>
      <c r="B52" s="1" t="s">
        <v>561</v>
      </c>
      <c r="C52" s="12"/>
      <c r="D52" s="12"/>
      <c r="E52" s="12"/>
      <c r="F52" s="12"/>
      <c r="G52" s="12"/>
      <c r="H52" s="12">
        <v>150000</v>
      </c>
      <c r="I52" s="12"/>
      <c r="J52" s="12"/>
      <c r="K52" s="12"/>
      <c r="L52" s="12"/>
      <c r="M52" s="12"/>
      <c r="N52" s="12"/>
      <c r="O52" s="12">
        <f t="shared" si="7"/>
        <v>150000</v>
      </c>
      <c r="P52" s="2">
        <v>100000</v>
      </c>
      <c r="Q52" s="3">
        <v>50000</v>
      </c>
      <c r="R52" s="12"/>
      <c r="S52" s="26">
        <f t="shared" si="10"/>
        <v>0</v>
      </c>
      <c r="T52" s="26">
        <v>0</v>
      </c>
      <c r="U52" s="22">
        <f t="shared" si="9"/>
        <v>0</v>
      </c>
      <c r="V52" s="22"/>
      <c r="W52" s="11">
        <f t="shared" si="1"/>
        <v>1</v>
      </c>
    </row>
    <row r="53" spans="1:23" ht="18.75" x14ac:dyDescent="0.3">
      <c r="A53" s="1">
        <v>51</v>
      </c>
      <c r="B53" s="1" t="s">
        <v>517</v>
      </c>
      <c r="C53" s="12"/>
      <c r="D53" s="12"/>
      <c r="E53" s="12"/>
      <c r="F53" s="12"/>
      <c r="G53" s="12">
        <v>650000</v>
      </c>
      <c r="H53" s="12"/>
      <c r="I53" s="12"/>
      <c r="J53" s="12"/>
      <c r="K53" s="12"/>
      <c r="L53" s="12"/>
      <c r="M53" s="12"/>
      <c r="N53" s="12"/>
      <c r="O53" s="12">
        <f t="shared" si="7"/>
        <v>650000</v>
      </c>
      <c r="P53" s="2">
        <v>600000</v>
      </c>
      <c r="Q53" s="3">
        <v>50000</v>
      </c>
      <c r="R53" s="12"/>
      <c r="S53" s="26">
        <f t="shared" si="10"/>
        <v>0</v>
      </c>
      <c r="T53" s="26">
        <v>0</v>
      </c>
      <c r="U53" s="22">
        <f t="shared" si="9"/>
        <v>0</v>
      </c>
      <c r="V53" s="22"/>
      <c r="W53" s="11">
        <f t="shared" si="1"/>
        <v>6</v>
      </c>
    </row>
    <row r="54" spans="1:23" ht="18.75" x14ac:dyDescent="0.3">
      <c r="A54" s="1">
        <v>52</v>
      </c>
      <c r="B54" s="1" t="s">
        <v>578</v>
      </c>
      <c r="C54" s="12"/>
      <c r="D54" s="12"/>
      <c r="E54" s="12"/>
      <c r="F54" s="12"/>
      <c r="G54" s="12"/>
      <c r="H54" s="12">
        <v>150000</v>
      </c>
      <c r="I54" s="12"/>
      <c r="J54" s="12"/>
      <c r="K54" s="12"/>
      <c r="L54" s="12"/>
      <c r="M54" s="12"/>
      <c r="N54" s="12"/>
      <c r="O54" s="12">
        <f t="shared" si="7"/>
        <v>150000</v>
      </c>
      <c r="P54" s="2">
        <v>100000</v>
      </c>
      <c r="Q54" s="3">
        <v>50000</v>
      </c>
      <c r="R54" s="12"/>
      <c r="S54" s="26">
        <f t="shared" si="10"/>
        <v>0</v>
      </c>
      <c r="T54" s="26">
        <v>0</v>
      </c>
      <c r="U54" s="22">
        <f t="shared" si="9"/>
        <v>0</v>
      </c>
      <c r="V54" s="22"/>
      <c r="W54" s="11">
        <f t="shared" si="1"/>
        <v>1</v>
      </c>
    </row>
    <row r="55" spans="1:23" ht="18.75" x14ac:dyDescent="0.3">
      <c r="A55" s="1">
        <v>53</v>
      </c>
      <c r="B55" s="1" t="s">
        <v>592</v>
      </c>
      <c r="C55" s="12"/>
      <c r="D55" s="12"/>
      <c r="E55" s="12"/>
      <c r="F55" s="12"/>
      <c r="G55" s="12"/>
      <c r="H55" s="12">
        <v>150000</v>
      </c>
      <c r="I55" s="12"/>
      <c r="J55" s="12"/>
      <c r="K55" s="12"/>
      <c r="L55" s="12"/>
      <c r="M55" s="12"/>
      <c r="N55" s="12"/>
      <c r="O55" s="12">
        <f t="shared" si="7"/>
        <v>150000</v>
      </c>
      <c r="P55" s="2">
        <v>100000</v>
      </c>
      <c r="Q55" s="3">
        <v>50000</v>
      </c>
      <c r="R55" s="12"/>
      <c r="S55" s="26">
        <f t="shared" si="10"/>
        <v>0</v>
      </c>
      <c r="T55" s="26"/>
      <c r="U55" s="22"/>
      <c r="V55" s="22"/>
      <c r="W55" s="11">
        <f t="shared" si="1"/>
        <v>1</v>
      </c>
    </row>
    <row r="56" spans="1:23" s="173" customFormat="1" ht="18.75" x14ac:dyDescent="0.3">
      <c r="A56" s="166">
        <v>54</v>
      </c>
      <c r="B56" s="166" t="s">
        <v>435</v>
      </c>
      <c r="C56" s="167"/>
      <c r="D56" s="167">
        <v>1050000</v>
      </c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>
        <f t="shared" si="7"/>
        <v>1050000</v>
      </c>
      <c r="P56" s="168">
        <v>1000000</v>
      </c>
      <c r="Q56" s="169">
        <v>50000</v>
      </c>
      <c r="R56" s="167"/>
      <c r="S56" s="170">
        <f t="shared" si="10"/>
        <v>0</v>
      </c>
      <c r="T56" s="170">
        <v>0</v>
      </c>
      <c r="U56" s="171">
        <f t="shared" ref="U56:U76" si="11">O56-(P56+Q56+R56)</f>
        <v>0</v>
      </c>
      <c r="V56" s="171"/>
      <c r="W56" s="172">
        <f t="shared" si="1"/>
        <v>10</v>
      </c>
    </row>
    <row r="57" spans="1:23" s="87" customFormat="1" ht="18.75" x14ac:dyDescent="0.3">
      <c r="A57" s="53">
        <v>55</v>
      </c>
      <c r="B57" s="1" t="s">
        <v>569</v>
      </c>
      <c r="C57" s="12"/>
      <c r="D57" s="12"/>
      <c r="E57" s="12"/>
      <c r="F57" s="12"/>
      <c r="G57" s="12"/>
      <c r="H57" s="12">
        <v>150000</v>
      </c>
      <c r="I57" s="12"/>
      <c r="J57" s="12"/>
      <c r="K57" s="12"/>
      <c r="L57" s="12"/>
      <c r="M57" s="12"/>
      <c r="N57" s="12"/>
      <c r="O57" s="12">
        <f t="shared" si="7"/>
        <v>150000</v>
      </c>
      <c r="P57" s="2">
        <v>100000</v>
      </c>
      <c r="Q57" s="3">
        <v>50000</v>
      </c>
      <c r="R57" s="12"/>
      <c r="S57" s="26">
        <f t="shared" si="10"/>
        <v>0</v>
      </c>
      <c r="T57" s="26">
        <v>0</v>
      </c>
      <c r="U57" s="22">
        <f t="shared" si="11"/>
        <v>0</v>
      </c>
      <c r="V57" s="22"/>
      <c r="W57" s="11">
        <f t="shared" si="1"/>
        <v>1</v>
      </c>
    </row>
    <row r="58" spans="1:23" ht="18.75" x14ac:dyDescent="0.3">
      <c r="A58" s="1">
        <v>56</v>
      </c>
      <c r="B58" s="1" t="s">
        <v>575</v>
      </c>
      <c r="C58" s="12"/>
      <c r="D58" s="12"/>
      <c r="E58" s="12"/>
      <c r="F58" s="12"/>
      <c r="G58" s="12"/>
      <c r="H58" s="12">
        <v>250000</v>
      </c>
      <c r="I58" s="12"/>
      <c r="J58" s="12"/>
      <c r="K58" s="12"/>
      <c r="L58" s="12"/>
      <c r="M58" s="12"/>
      <c r="N58" s="12"/>
      <c r="O58" s="12">
        <f t="shared" si="7"/>
        <v>250000</v>
      </c>
      <c r="P58" s="2">
        <v>200000</v>
      </c>
      <c r="Q58" s="3">
        <v>50000</v>
      </c>
      <c r="R58" s="12"/>
      <c r="S58" s="26">
        <f t="shared" si="10"/>
        <v>0</v>
      </c>
      <c r="T58" s="26">
        <v>0</v>
      </c>
      <c r="U58" s="22">
        <f t="shared" si="11"/>
        <v>0</v>
      </c>
      <c r="V58" s="22"/>
      <c r="W58" s="11">
        <f t="shared" si="1"/>
        <v>2</v>
      </c>
    </row>
    <row r="59" spans="1:23" ht="18.75" x14ac:dyDescent="0.3">
      <c r="A59" s="1">
        <v>57</v>
      </c>
      <c r="B59" s="1" t="s">
        <v>465</v>
      </c>
      <c r="C59" s="12"/>
      <c r="D59" s="12"/>
      <c r="E59" s="12">
        <v>150000</v>
      </c>
      <c r="F59" s="12"/>
      <c r="G59" s="12"/>
      <c r="H59" s="12"/>
      <c r="I59" s="12"/>
      <c r="J59" s="12"/>
      <c r="K59" s="12"/>
      <c r="L59" s="12"/>
      <c r="M59" s="12"/>
      <c r="N59" s="12"/>
      <c r="O59" s="12">
        <f t="shared" si="7"/>
        <v>150000</v>
      </c>
      <c r="P59" s="2">
        <v>100000</v>
      </c>
      <c r="Q59" s="3">
        <v>50000</v>
      </c>
      <c r="R59" s="12"/>
      <c r="S59" s="26">
        <f t="shared" si="10"/>
        <v>0</v>
      </c>
      <c r="T59" s="26">
        <v>0</v>
      </c>
      <c r="U59" s="22">
        <f t="shared" si="11"/>
        <v>0</v>
      </c>
      <c r="V59" s="22"/>
      <c r="W59" s="11">
        <f t="shared" si="1"/>
        <v>1</v>
      </c>
    </row>
    <row r="60" spans="1:23" ht="18.75" x14ac:dyDescent="0.3">
      <c r="A60" s="1">
        <v>58</v>
      </c>
      <c r="B60" s="1" t="s">
        <v>558</v>
      </c>
      <c r="C60" s="12"/>
      <c r="D60" s="12"/>
      <c r="E60" s="12"/>
      <c r="F60" s="12"/>
      <c r="G60" s="12"/>
      <c r="H60" s="12">
        <v>153000</v>
      </c>
      <c r="I60" s="12"/>
      <c r="J60" s="12"/>
      <c r="K60" s="12"/>
      <c r="L60" s="12"/>
      <c r="M60" s="12"/>
      <c r="N60" s="12"/>
      <c r="O60" s="12">
        <f t="shared" si="7"/>
        <v>153000</v>
      </c>
      <c r="P60" s="2">
        <v>100000</v>
      </c>
      <c r="Q60" s="3">
        <v>50000</v>
      </c>
      <c r="R60" s="12">
        <v>3000</v>
      </c>
      <c r="S60" s="26">
        <f t="shared" si="10"/>
        <v>3000</v>
      </c>
      <c r="T60" s="26">
        <v>0</v>
      </c>
      <c r="U60" s="22">
        <f t="shared" si="11"/>
        <v>0</v>
      </c>
      <c r="V60" s="22"/>
      <c r="W60" s="11">
        <f t="shared" si="1"/>
        <v>1</v>
      </c>
    </row>
    <row r="61" spans="1:23" ht="18.75" x14ac:dyDescent="0.3">
      <c r="A61" s="1">
        <v>59</v>
      </c>
      <c r="B61" s="1" t="s">
        <v>573</v>
      </c>
      <c r="C61" s="12"/>
      <c r="D61" s="12"/>
      <c r="E61" s="12"/>
      <c r="F61" s="12"/>
      <c r="G61" s="12"/>
      <c r="H61" s="12">
        <v>250000</v>
      </c>
      <c r="I61" s="12"/>
      <c r="J61" s="12"/>
      <c r="K61" s="12"/>
      <c r="L61" s="12"/>
      <c r="M61" s="12"/>
      <c r="N61" s="12"/>
      <c r="O61" s="12">
        <f t="shared" si="7"/>
        <v>250000</v>
      </c>
      <c r="P61" s="2">
        <v>200000</v>
      </c>
      <c r="Q61" s="3">
        <v>50000</v>
      </c>
      <c r="R61" s="12"/>
      <c r="S61" s="26">
        <f t="shared" si="10"/>
        <v>0</v>
      </c>
      <c r="T61" s="26">
        <v>0</v>
      </c>
      <c r="U61" s="22">
        <f t="shared" si="11"/>
        <v>0</v>
      </c>
      <c r="V61" s="22"/>
      <c r="W61" s="11">
        <f t="shared" si="1"/>
        <v>2</v>
      </c>
    </row>
    <row r="62" spans="1:23" s="133" customFormat="1" ht="18.75" x14ac:dyDescent="0.3">
      <c r="A62" s="115">
        <v>60</v>
      </c>
      <c r="B62" s="115" t="s">
        <v>505</v>
      </c>
      <c r="C62" s="116"/>
      <c r="D62" s="116"/>
      <c r="E62" s="116"/>
      <c r="F62" s="116"/>
      <c r="G62" s="116">
        <f>400000+100000</f>
        <v>500000</v>
      </c>
      <c r="H62" s="116">
        <f>220000+1100000+510000+300000</f>
        <v>2130000</v>
      </c>
      <c r="I62" s="116">
        <v>-2000000</v>
      </c>
      <c r="J62" s="116"/>
      <c r="K62" s="116"/>
      <c r="L62" s="116"/>
      <c r="M62" s="116"/>
      <c r="N62" s="116"/>
      <c r="O62" s="116">
        <f t="shared" si="7"/>
        <v>630000</v>
      </c>
      <c r="P62" s="117">
        <f>300000+100000+100000</f>
        <v>500000</v>
      </c>
      <c r="Q62" s="118">
        <v>50000</v>
      </c>
      <c r="R62" s="116">
        <f>50000+100000+120000+1000000+510000+300000-2000000</f>
        <v>80000</v>
      </c>
      <c r="S62" s="119">
        <f t="shared" si="10"/>
        <v>80000</v>
      </c>
      <c r="T62" s="119">
        <v>0</v>
      </c>
      <c r="U62" s="120">
        <f t="shared" si="11"/>
        <v>0</v>
      </c>
      <c r="V62" s="120">
        <v>2000000</v>
      </c>
      <c r="W62" s="121">
        <f t="shared" si="1"/>
        <v>5</v>
      </c>
    </row>
    <row r="63" spans="1:23" s="202" customFormat="1" ht="18.75" x14ac:dyDescent="0.3">
      <c r="A63" s="194">
        <v>61</v>
      </c>
      <c r="B63" s="194" t="s">
        <v>500</v>
      </c>
      <c r="C63" s="195"/>
      <c r="D63" s="195"/>
      <c r="E63" s="195"/>
      <c r="F63" s="195">
        <v>150000</v>
      </c>
      <c r="G63" s="195">
        <v>50000</v>
      </c>
      <c r="H63" s="195">
        <v>150000</v>
      </c>
      <c r="I63" s="195">
        <v>50000</v>
      </c>
      <c r="J63" s="195"/>
      <c r="K63" s="195"/>
      <c r="L63" s="195"/>
      <c r="M63" s="195"/>
      <c r="N63" s="195"/>
      <c r="O63" s="195">
        <f t="shared" si="7"/>
        <v>400000</v>
      </c>
      <c r="P63" s="196">
        <f>100000+100000</f>
        <v>200000</v>
      </c>
      <c r="Q63" s="197">
        <v>50000</v>
      </c>
      <c r="R63" s="195">
        <f>50000+50000+50000</f>
        <v>150000</v>
      </c>
      <c r="S63" s="198">
        <f t="shared" si="10"/>
        <v>150000</v>
      </c>
      <c r="T63" s="198">
        <v>0</v>
      </c>
      <c r="U63" s="199">
        <f t="shared" si="11"/>
        <v>0</v>
      </c>
      <c r="V63" s="199"/>
      <c r="W63" s="200">
        <f t="shared" si="1"/>
        <v>2</v>
      </c>
    </row>
    <row r="64" spans="1:23" ht="18.75" x14ac:dyDescent="0.3">
      <c r="A64" s="1">
        <v>62</v>
      </c>
      <c r="B64" s="1" t="s">
        <v>120</v>
      </c>
      <c r="C64" s="12"/>
      <c r="D64" s="12"/>
      <c r="E64" s="12"/>
      <c r="F64" s="12">
        <v>100000</v>
      </c>
      <c r="G64" s="12">
        <v>100000</v>
      </c>
      <c r="H64" s="12"/>
      <c r="I64" s="12"/>
      <c r="J64" s="12"/>
      <c r="K64" s="12"/>
      <c r="L64" s="12"/>
      <c r="M64" s="12"/>
      <c r="N64" s="12"/>
      <c r="O64" s="12">
        <f t="shared" si="7"/>
        <v>200000</v>
      </c>
      <c r="P64" s="2">
        <f>100000+100000</f>
        <v>200000</v>
      </c>
      <c r="Q64" s="3"/>
      <c r="R64" s="12"/>
      <c r="S64" s="26">
        <f t="shared" si="10"/>
        <v>0</v>
      </c>
      <c r="T64" s="26">
        <v>0</v>
      </c>
      <c r="U64" s="22">
        <f t="shared" si="11"/>
        <v>0</v>
      </c>
      <c r="V64" s="22"/>
      <c r="W64" s="11">
        <f t="shared" si="1"/>
        <v>2</v>
      </c>
    </row>
    <row r="65" spans="1:23" ht="18.75" x14ac:dyDescent="0.3">
      <c r="A65" s="1">
        <v>63</v>
      </c>
      <c r="B65" s="35" t="s">
        <v>437</v>
      </c>
      <c r="C65" s="76"/>
      <c r="D65" s="76">
        <v>100000</v>
      </c>
      <c r="E65" s="76">
        <v>50000</v>
      </c>
      <c r="F65" s="76"/>
      <c r="G65" s="76"/>
      <c r="H65" s="76"/>
      <c r="I65" s="76"/>
      <c r="J65" s="76"/>
      <c r="K65" s="76"/>
      <c r="L65" s="76"/>
      <c r="M65" s="76"/>
      <c r="N65" s="76"/>
      <c r="O65" s="12">
        <f t="shared" si="7"/>
        <v>150000</v>
      </c>
      <c r="P65" s="2">
        <v>100000</v>
      </c>
      <c r="Q65" s="9">
        <v>50000</v>
      </c>
      <c r="R65" s="12"/>
      <c r="S65" s="26">
        <f t="shared" si="10"/>
        <v>0</v>
      </c>
      <c r="T65" s="26">
        <v>0</v>
      </c>
      <c r="U65" s="22">
        <f t="shared" si="11"/>
        <v>0</v>
      </c>
      <c r="V65" s="22"/>
      <c r="W65" s="11">
        <f t="shared" si="1"/>
        <v>1</v>
      </c>
    </row>
    <row r="66" spans="1:23" ht="18.75" x14ac:dyDescent="0.3">
      <c r="A66" s="1">
        <v>64</v>
      </c>
      <c r="B66" s="1" t="s">
        <v>581</v>
      </c>
      <c r="C66" s="12"/>
      <c r="D66" s="12"/>
      <c r="E66" s="12"/>
      <c r="F66" s="12"/>
      <c r="G66" s="12"/>
      <c r="H66" s="12">
        <v>350000</v>
      </c>
      <c r="I66" s="12"/>
      <c r="J66" s="12"/>
      <c r="K66" s="12"/>
      <c r="L66" s="12"/>
      <c r="M66" s="12"/>
      <c r="N66" s="12"/>
      <c r="O66" s="12">
        <f t="shared" si="7"/>
        <v>350000</v>
      </c>
      <c r="P66" s="2">
        <v>300000</v>
      </c>
      <c r="Q66" s="3">
        <v>50000</v>
      </c>
      <c r="R66" s="12"/>
      <c r="S66" s="26">
        <f t="shared" si="10"/>
        <v>0</v>
      </c>
      <c r="T66" s="26">
        <v>0</v>
      </c>
      <c r="U66" s="22">
        <f t="shared" si="11"/>
        <v>0</v>
      </c>
      <c r="V66" s="22"/>
      <c r="W66" s="11">
        <f t="shared" si="1"/>
        <v>3</v>
      </c>
    </row>
    <row r="67" spans="1:23" ht="18.75" x14ac:dyDescent="0.3">
      <c r="A67" s="1">
        <v>65</v>
      </c>
      <c r="B67" s="1" t="s">
        <v>489</v>
      </c>
      <c r="C67" s="12"/>
      <c r="D67" s="12"/>
      <c r="E67" s="12"/>
      <c r="F67" s="12">
        <v>150000</v>
      </c>
      <c r="G67" s="12"/>
      <c r="H67" s="12">
        <v>100000</v>
      </c>
      <c r="I67" s="12"/>
      <c r="J67" s="12"/>
      <c r="K67" s="12"/>
      <c r="L67" s="12"/>
      <c r="M67" s="12"/>
      <c r="N67" s="12"/>
      <c r="O67" s="12">
        <f t="shared" ref="O67:O98" si="12">SUM(C67:N67)</f>
        <v>250000</v>
      </c>
      <c r="P67" s="2">
        <v>100000</v>
      </c>
      <c r="Q67" s="3">
        <v>50000</v>
      </c>
      <c r="R67" s="12">
        <v>100000</v>
      </c>
      <c r="S67" s="26">
        <f t="shared" si="10"/>
        <v>100000</v>
      </c>
      <c r="T67" s="26">
        <v>0</v>
      </c>
      <c r="U67" s="22">
        <f t="shared" si="11"/>
        <v>0</v>
      </c>
      <c r="V67" s="22"/>
      <c r="W67" s="11">
        <f t="shared" si="1"/>
        <v>1</v>
      </c>
    </row>
    <row r="68" spans="1:23" ht="18.75" x14ac:dyDescent="0.3">
      <c r="A68" s="1">
        <v>66</v>
      </c>
      <c r="B68" s="1" t="s">
        <v>481</v>
      </c>
      <c r="C68" s="12"/>
      <c r="D68" s="12"/>
      <c r="E68" s="12">
        <v>50000</v>
      </c>
      <c r="F68" s="12">
        <v>1000000</v>
      </c>
      <c r="G68" s="12"/>
      <c r="H68" s="12"/>
      <c r="I68" s="12"/>
      <c r="J68" s="12"/>
      <c r="K68" s="12"/>
      <c r="L68" s="12"/>
      <c r="M68" s="12"/>
      <c r="N68" s="12"/>
      <c r="O68" s="12">
        <f t="shared" si="12"/>
        <v>1050000</v>
      </c>
      <c r="P68" s="2">
        <v>1000000</v>
      </c>
      <c r="Q68" s="3">
        <v>50000</v>
      </c>
      <c r="R68" s="12"/>
      <c r="S68" s="26">
        <f t="shared" si="10"/>
        <v>0</v>
      </c>
      <c r="T68" s="26">
        <v>0</v>
      </c>
      <c r="U68" s="22">
        <f t="shared" si="11"/>
        <v>0</v>
      </c>
      <c r="V68" s="22"/>
      <c r="W68" s="11">
        <f t="shared" ref="W68:W131" si="13">P68/100000</f>
        <v>10</v>
      </c>
    </row>
    <row r="69" spans="1:23" ht="18.75" x14ac:dyDescent="0.3">
      <c r="A69" s="1">
        <v>67</v>
      </c>
      <c r="B69" s="1" t="s">
        <v>448</v>
      </c>
      <c r="C69" s="12"/>
      <c r="D69" s="12"/>
      <c r="E69" s="12">
        <v>150000</v>
      </c>
      <c r="F69" s="12">
        <v>50000</v>
      </c>
      <c r="G69" s="12">
        <f>50000+100000</f>
        <v>150000</v>
      </c>
      <c r="H69" s="12">
        <v>50000</v>
      </c>
      <c r="I69" s="12"/>
      <c r="J69" s="12"/>
      <c r="K69" s="12"/>
      <c r="L69" s="12"/>
      <c r="M69" s="12"/>
      <c r="N69" s="12"/>
      <c r="O69" s="12">
        <f t="shared" si="12"/>
        <v>400000</v>
      </c>
      <c r="P69" s="2">
        <f>100000</f>
        <v>100000</v>
      </c>
      <c r="Q69" s="3">
        <v>50000</v>
      </c>
      <c r="R69" s="12">
        <f>50000+50000+100000+50000</f>
        <v>250000</v>
      </c>
      <c r="S69" s="26">
        <f t="shared" si="10"/>
        <v>250000</v>
      </c>
      <c r="T69" s="26">
        <v>0</v>
      </c>
      <c r="U69" s="22">
        <f t="shared" si="11"/>
        <v>0</v>
      </c>
      <c r="V69" s="22"/>
      <c r="W69" s="11">
        <f t="shared" si="13"/>
        <v>1</v>
      </c>
    </row>
    <row r="70" spans="1:23" ht="18.75" x14ac:dyDescent="0.3">
      <c r="A70" s="1">
        <v>68</v>
      </c>
      <c r="B70" s="1" t="s">
        <v>551</v>
      </c>
      <c r="C70" s="12"/>
      <c r="D70" s="12"/>
      <c r="E70" s="12"/>
      <c r="F70" s="12"/>
      <c r="G70" s="12"/>
      <c r="H70" s="12">
        <v>150000</v>
      </c>
      <c r="I70" s="12"/>
      <c r="J70" s="12"/>
      <c r="K70" s="12"/>
      <c r="L70" s="12"/>
      <c r="M70" s="12"/>
      <c r="N70" s="12"/>
      <c r="O70" s="12">
        <f t="shared" si="12"/>
        <v>150000</v>
      </c>
      <c r="P70" s="2">
        <v>100000</v>
      </c>
      <c r="Q70" s="3">
        <v>50000</v>
      </c>
      <c r="R70" s="12"/>
      <c r="S70" s="26">
        <f t="shared" si="10"/>
        <v>0</v>
      </c>
      <c r="T70" s="26">
        <v>0</v>
      </c>
      <c r="U70" s="22">
        <f t="shared" si="11"/>
        <v>0</v>
      </c>
      <c r="V70" s="22"/>
      <c r="W70" s="11">
        <f t="shared" si="13"/>
        <v>1</v>
      </c>
    </row>
    <row r="71" spans="1:23" ht="18.75" x14ac:dyDescent="0.3">
      <c r="A71" s="1">
        <v>69</v>
      </c>
      <c r="B71" s="1" t="s">
        <v>515</v>
      </c>
      <c r="C71" s="12"/>
      <c r="D71" s="12"/>
      <c r="E71" s="12"/>
      <c r="F71" s="12"/>
      <c r="G71" s="12">
        <v>150000</v>
      </c>
      <c r="H71" s="12"/>
      <c r="I71" s="12"/>
      <c r="J71" s="12"/>
      <c r="K71" s="12"/>
      <c r="L71" s="12"/>
      <c r="M71" s="12"/>
      <c r="N71" s="12"/>
      <c r="O71" s="12">
        <f t="shared" si="12"/>
        <v>150000</v>
      </c>
      <c r="P71" s="2">
        <v>100000</v>
      </c>
      <c r="Q71" s="3">
        <v>50000</v>
      </c>
      <c r="R71" s="12"/>
      <c r="S71" s="26">
        <f t="shared" si="10"/>
        <v>0</v>
      </c>
      <c r="T71" s="26">
        <v>0</v>
      </c>
      <c r="U71" s="22">
        <f t="shared" si="11"/>
        <v>0</v>
      </c>
      <c r="V71" s="22"/>
      <c r="W71" s="11">
        <f t="shared" si="13"/>
        <v>1</v>
      </c>
    </row>
    <row r="72" spans="1:23" ht="18.75" x14ac:dyDescent="0.3">
      <c r="A72" s="1">
        <v>70</v>
      </c>
      <c r="B72" s="1" t="s">
        <v>601</v>
      </c>
      <c r="C72" s="12"/>
      <c r="D72" s="12"/>
      <c r="E72" s="12"/>
      <c r="F72" s="12"/>
      <c r="G72" s="12"/>
      <c r="H72" s="12">
        <v>150000</v>
      </c>
      <c r="I72" s="12"/>
      <c r="J72" s="12"/>
      <c r="K72" s="12"/>
      <c r="L72" s="12"/>
      <c r="M72" s="12"/>
      <c r="N72" s="12"/>
      <c r="O72" s="12">
        <f t="shared" si="12"/>
        <v>150000</v>
      </c>
      <c r="P72" s="2">
        <v>100000</v>
      </c>
      <c r="Q72" s="3">
        <v>50000</v>
      </c>
      <c r="R72" s="12"/>
      <c r="S72" s="26">
        <f t="shared" si="10"/>
        <v>0</v>
      </c>
      <c r="T72" s="26">
        <v>0</v>
      </c>
      <c r="U72" s="22">
        <f t="shared" si="11"/>
        <v>0</v>
      </c>
      <c r="V72" s="22"/>
      <c r="W72" s="11">
        <f t="shared" si="13"/>
        <v>1</v>
      </c>
    </row>
    <row r="73" spans="1:23" ht="18.75" x14ac:dyDescent="0.3">
      <c r="A73" s="1">
        <v>71</v>
      </c>
      <c r="B73" s="1" t="s">
        <v>474</v>
      </c>
      <c r="C73" s="12"/>
      <c r="D73" s="12"/>
      <c r="E73" s="12">
        <v>300000</v>
      </c>
      <c r="F73" s="12">
        <v>100000</v>
      </c>
      <c r="G73" s="12">
        <v>100000</v>
      </c>
      <c r="H73" s="12"/>
      <c r="I73" s="12"/>
      <c r="J73" s="12"/>
      <c r="K73" s="12"/>
      <c r="L73" s="12"/>
      <c r="M73" s="12"/>
      <c r="N73" s="12"/>
      <c r="O73" s="12">
        <f t="shared" si="12"/>
        <v>500000</v>
      </c>
      <c r="P73" s="2">
        <v>200000</v>
      </c>
      <c r="Q73" s="3">
        <v>50000</v>
      </c>
      <c r="R73" s="12">
        <f>50000+100000+100000</f>
        <v>250000</v>
      </c>
      <c r="S73" s="26">
        <f t="shared" si="10"/>
        <v>250000</v>
      </c>
      <c r="T73" s="26">
        <v>0</v>
      </c>
      <c r="U73" s="22">
        <f t="shared" si="11"/>
        <v>0</v>
      </c>
      <c r="V73" s="22"/>
      <c r="W73" s="11">
        <f t="shared" si="13"/>
        <v>2</v>
      </c>
    </row>
    <row r="74" spans="1:23" ht="18.75" x14ac:dyDescent="0.3">
      <c r="A74" s="1">
        <v>72</v>
      </c>
      <c r="B74" s="1" t="s">
        <v>443</v>
      </c>
      <c r="C74" s="12"/>
      <c r="D74" s="12"/>
      <c r="E74" s="12">
        <v>498000</v>
      </c>
      <c r="F74" s="12">
        <v>1260000</v>
      </c>
      <c r="G74" s="12">
        <f>800000+200000+70000</f>
        <v>1070000</v>
      </c>
      <c r="H74" s="12">
        <v>2000000</v>
      </c>
      <c r="I74" s="12"/>
      <c r="J74" s="12"/>
      <c r="K74" s="12"/>
      <c r="L74" s="12"/>
      <c r="M74" s="12"/>
      <c r="N74" s="12"/>
      <c r="O74" s="12">
        <f t="shared" si="12"/>
        <v>4828000</v>
      </c>
      <c r="P74" s="2">
        <f>400000+1200000+800000+1000000</f>
        <v>3400000</v>
      </c>
      <c r="Q74" s="3">
        <v>50000</v>
      </c>
      <c r="R74" s="12">
        <f>48000+60000+200000+70000+1000000</f>
        <v>1378000</v>
      </c>
      <c r="S74" s="26">
        <f t="shared" si="10"/>
        <v>1378000</v>
      </c>
      <c r="T74" s="26">
        <v>0</v>
      </c>
      <c r="U74" s="22">
        <f t="shared" si="11"/>
        <v>0</v>
      </c>
      <c r="V74" s="22"/>
      <c r="W74" s="11">
        <f t="shared" si="13"/>
        <v>34</v>
      </c>
    </row>
    <row r="75" spans="1:23" ht="18.75" x14ac:dyDescent="0.3">
      <c r="A75" s="1">
        <v>73</v>
      </c>
      <c r="B75" s="1" t="s">
        <v>577</v>
      </c>
      <c r="C75" s="12"/>
      <c r="D75" s="12"/>
      <c r="E75" s="12"/>
      <c r="F75" s="12"/>
      <c r="G75" s="12"/>
      <c r="H75" s="12">
        <v>175000</v>
      </c>
      <c r="I75" s="12"/>
      <c r="J75" s="12"/>
      <c r="K75" s="12"/>
      <c r="L75" s="12"/>
      <c r="M75" s="12"/>
      <c r="N75" s="12"/>
      <c r="O75" s="12">
        <f t="shared" si="12"/>
        <v>175000</v>
      </c>
      <c r="P75" s="2">
        <v>100000</v>
      </c>
      <c r="Q75" s="3">
        <v>50000</v>
      </c>
      <c r="R75" s="12">
        <v>25000</v>
      </c>
      <c r="S75" s="26">
        <f t="shared" si="10"/>
        <v>25000</v>
      </c>
      <c r="T75" s="26">
        <v>0</v>
      </c>
      <c r="U75" s="22">
        <f t="shared" si="11"/>
        <v>0</v>
      </c>
      <c r="V75" s="22"/>
      <c r="W75" s="11">
        <f t="shared" si="13"/>
        <v>1</v>
      </c>
    </row>
    <row r="76" spans="1:23" ht="18.75" x14ac:dyDescent="0.3">
      <c r="A76" s="1">
        <v>74</v>
      </c>
      <c r="B76" s="1" t="s">
        <v>572</v>
      </c>
      <c r="C76" s="12"/>
      <c r="D76" s="12"/>
      <c r="E76" s="12"/>
      <c r="F76" s="12"/>
      <c r="G76" s="12"/>
      <c r="H76" s="12">
        <v>150000</v>
      </c>
      <c r="I76" s="12"/>
      <c r="J76" s="12"/>
      <c r="K76" s="12"/>
      <c r="L76" s="12"/>
      <c r="M76" s="12"/>
      <c r="N76" s="12"/>
      <c r="O76" s="12">
        <f t="shared" si="12"/>
        <v>150000</v>
      </c>
      <c r="P76" s="2">
        <v>100000</v>
      </c>
      <c r="Q76" s="3">
        <v>50000</v>
      </c>
      <c r="R76" s="12"/>
      <c r="S76" s="26">
        <f t="shared" si="10"/>
        <v>0</v>
      </c>
      <c r="T76" s="26">
        <v>0</v>
      </c>
      <c r="U76" s="22">
        <f t="shared" si="11"/>
        <v>0</v>
      </c>
      <c r="V76" s="22"/>
      <c r="W76" s="11">
        <f t="shared" si="13"/>
        <v>1</v>
      </c>
    </row>
    <row r="77" spans="1:23" ht="18.75" x14ac:dyDescent="0.3">
      <c r="A77" s="1">
        <v>75</v>
      </c>
      <c r="B77" s="1" t="s">
        <v>615</v>
      </c>
      <c r="C77" s="12"/>
      <c r="D77" s="12"/>
      <c r="E77" s="12"/>
      <c r="F77" s="12"/>
      <c r="G77" s="12"/>
      <c r="H77" s="12">
        <v>170000</v>
      </c>
      <c r="I77" s="12"/>
      <c r="J77" s="12"/>
      <c r="K77" s="12"/>
      <c r="L77" s="12"/>
      <c r="M77" s="12"/>
      <c r="N77" s="12"/>
      <c r="O77" s="12">
        <f t="shared" si="12"/>
        <v>170000</v>
      </c>
      <c r="P77" s="2">
        <v>100000</v>
      </c>
      <c r="Q77" s="3">
        <v>50000</v>
      </c>
      <c r="R77" s="12">
        <v>20000</v>
      </c>
      <c r="S77" s="26">
        <f t="shared" si="10"/>
        <v>20000</v>
      </c>
      <c r="T77" s="26"/>
      <c r="U77" s="22"/>
      <c r="V77" s="22"/>
      <c r="W77" s="11">
        <f t="shared" si="13"/>
        <v>1</v>
      </c>
    </row>
    <row r="78" spans="1:23" ht="18.75" x14ac:dyDescent="0.3">
      <c r="A78" s="1">
        <v>76</v>
      </c>
      <c r="B78" s="1" t="s">
        <v>148</v>
      </c>
      <c r="C78" s="12"/>
      <c r="D78" s="12"/>
      <c r="E78" s="12"/>
      <c r="F78" s="12">
        <v>500000</v>
      </c>
      <c r="G78" s="12"/>
      <c r="H78" s="12"/>
      <c r="I78" s="12"/>
      <c r="J78" s="12"/>
      <c r="K78" s="12"/>
      <c r="L78" s="12"/>
      <c r="M78" s="12"/>
      <c r="N78" s="12"/>
      <c r="O78" s="12">
        <f t="shared" si="12"/>
        <v>500000</v>
      </c>
      <c r="P78" s="2">
        <v>500000</v>
      </c>
      <c r="Q78" s="3"/>
      <c r="R78" s="12"/>
      <c r="S78" s="26">
        <f>R78-T78</f>
        <v>0</v>
      </c>
      <c r="T78" s="26">
        <v>0</v>
      </c>
      <c r="U78" s="22">
        <f>O78-(P78+Q78+R78)</f>
        <v>0</v>
      </c>
      <c r="V78" s="22"/>
      <c r="W78" s="11">
        <f t="shared" si="13"/>
        <v>5</v>
      </c>
    </row>
    <row r="79" spans="1:23" ht="18.75" x14ac:dyDescent="0.3">
      <c r="A79" s="1">
        <v>77</v>
      </c>
      <c r="B79" s="1" t="s">
        <v>593</v>
      </c>
      <c r="C79" s="12"/>
      <c r="D79" s="12"/>
      <c r="E79" s="12"/>
      <c r="F79" s="12"/>
      <c r="G79" s="12"/>
      <c r="H79" s="12">
        <v>150000</v>
      </c>
      <c r="I79" s="12"/>
      <c r="J79" s="12"/>
      <c r="K79" s="12"/>
      <c r="L79" s="12"/>
      <c r="M79" s="12"/>
      <c r="N79" s="12"/>
      <c r="O79" s="12">
        <f t="shared" si="12"/>
        <v>150000</v>
      </c>
      <c r="P79" s="2">
        <v>100000</v>
      </c>
      <c r="Q79" s="3">
        <v>50000</v>
      </c>
      <c r="R79" s="12"/>
      <c r="S79" s="26">
        <f>R79-T79</f>
        <v>0</v>
      </c>
      <c r="T79" s="26"/>
      <c r="U79" s="22"/>
      <c r="V79" s="22"/>
      <c r="W79" s="11">
        <f t="shared" si="13"/>
        <v>1</v>
      </c>
    </row>
    <row r="80" spans="1:23" ht="18.75" x14ac:dyDescent="0.3">
      <c r="A80" s="1">
        <v>78</v>
      </c>
      <c r="B80" s="1" t="s">
        <v>584</v>
      </c>
      <c r="C80" s="12"/>
      <c r="D80" s="12"/>
      <c r="E80" s="12"/>
      <c r="F80" s="12"/>
      <c r="G80" s="12"/>
      <c r="H80" s="12">
        <v>150000</v>
      </c>
      <c r="I80" s="12"/>
      <c r="J80" s="12"/>
      <c r="K80" s="12"/>
      <c r="L80" s="12"/>
      <c r="M80" s="12"/>
      <c r="N80" s="12"/>
      <c r="O80" s="12">
        <f t="shared" si="12"/>
        <v>150000</v>
      </c>
      <c r="P80" s="2">
        <v>100000</v>
      </c>
      <c r="Q80" s="3">
        <v>50000</v>
      </c>
      <c r="R80" s="12"/>
      <c r="S80" s="26">
        <f t="shared" ref="S80:S100" si="14">R80-T80</f>
        <v>0</v>
      </c>
      <c r="T80" s="26">
        <v>0</v>
      </c>
      <c r="U80" s="22">
        <f t="shared" ref="U80:U110" si="15">O80-(P80+Q80+R80)</f>
        <v>0</v>
      </c>
      <c r="V80" s="22"/>
      <c r="W80" s="11">
        <f t="shared" si="13"/>
        <v>1</v>
      </c>
    </row>
    <row r="81" spans="1:23" ht="18.75" x14ac:dyDescent="0.3">
      <c r="A81" s="1">
        <v>79</v>
      </c>
      <c r="B81" s="4" t="s">
        <v>476</v>
      </c>
      <c r="C81" s="12"/>
      <c r="D81" s="12"/>
      <c r="E81" s="12">
        <v>150000</v>
      </c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12"/>
        <v>150000</v>
      </c>
      <c r="P81" s="2">
        <v>100000</v>
      </c>
      <c r="Q81" s="3">
        <v>50000</v>
      </c>
      <c r="R81" s="12"/>
      <c r="S81" s="26">
        <f t="shared" si="14"/>
        <v>0</v>
      </c>
      <c r="T81" s="26">
        <v>0</v>
      </c>
      <c r="U81" s="22">
        <f t="shared" si="15"/>
        <v>0</v>
      </c>
      <c r="V81" s="22"/>
      <c r="W81" s="11">
        <f t="shared" si="13"/>
        <v>1</v>
      </c>
    </row>
    <row r="82" spans="1:23" ht="18.75" x14ac:dyDescent="0.3">
      <c r="A82" s="1">
        <v>80</v>
      </c>
      <c r="B82" s="1" t="s">
        <v>544</v>
      </c>
      <c r="C82" s="12"/>
      <c r="D82" s="12"/>
      <c r="E82" s="12"/>
      <c r="F82" s="12"/>
      <c r="G82" s="12">
        <v>350000</v>
      </c>
      <c r="H82" s="12"/>
      <c r="I82" s="12"/>
      <c r="J82" s="12"/>
      <c r="K82" s="12"/>
      <c r="L82" s="12"/>
      <c r="M82" s="12"/>
      <c r="N82" s="12"/>
      <c r="O82" s="12">
        <f t="shared" si="12"/>
        <v>350000</v>
      </c>
      <c r="P82" s="2">
        <v>300000</v>
      </c>
      <c r="Q82" s="3">
        <v>50000</v>
      </c>
      <c r="R82" s="12"/>
      <c r="S82" s="26">
        <f t="shared" si="14"/>
        <v>0</v>
      </c>
      <c r="T82" s="26">
        <v>0</v>
      </c>
      <c r="U82" s="22">
        <f t="shared" si="15"/>
        <v>0</v>
      </c>
      <c r="V82" s="22"/>
      <c r="W82" s="11">
        <f t="shared" si="13"/>
        <v>3</v>
      </c>
    </row>
    <row r="83" spans="1:23" ht="18.75" x14ac:dyDescent="0.3">
      <c r="A83" s="1">
        <v>81</v>
      </c>
      <c r="B83" s="1" t="s">
        <v>614</v>
      </c>
      <c r="C83" s="12"/>
      <c r="D83" s="12"/>
      <c r="E83" s="12"/>
      <c r="F83" s="12"/>
      <c r="G83" s="12">
        <f>250000+50000</f>
        <v>300000</v>
      </c>
      <c r="H83" s="12"/>
      <c r="I83" s="12"/>
      <c r="J83" s="12"/>
      <c r="K83" s="12"/>
      <c r="L83" s="12"/>
      <c r="M83" s="12"/>
      <c r="N83" s="12"/>
      <c r="O83" s="12">
        <f t="shared" si="12"/>
        <v>300000</v>
      </c>
      <c r="P83" s="2">
        <v>200000</v>
      </c>
      <c r="Q83" s="3">
        <v>50000</v>
      </c>
      <c r="R83" s="12">
        <v>50000</v>
      </c>
      <c r="S83" s="26">
        <f t="shared" si="14"/>
        <v>50000</v>
      </c>
      <c r="T83" s="26">
        <v>0</v>
      </c>
      <c r="U83" s="22">
        <f t="shared" si="15"/>
        <v>0</v>
      </c>
      <c r="V83" s="22"/>
      <c r="W83" s="11">
        <f t="shared" si="13"/>
        <v>2</v>
      </c>
    </row>
    <row r="84" spans="1:23" s="202" customFormat="1" ht="18.75" x14ac:dyDescent="0.3">
      <c r="A84" s="194">
        <v>82</v>
      </c>
      <c r="B84" s="194" t="s">
        <v>534</v>
      </c>
      <c r="C84" s="195"/>
      <c r="D84" s="195"/>
      <c r="E84" s="195"/>
      <c r="F84" s="195"/>
      <c r="G84" s="195">
        <v>150000</v>
      </c>
      <c r="H84" s="195"/>
      <c r="I84" s="195">
        <v>50000</v>
      </c>
      <c r="J84" s="195"/>
      <c r="K84" s="195"/>
      <c r="L84" s="195"/>
      <c r="M84" s="195"/>
      <c r="N84" s="195"/>
      <c r="O84" s="195">
        <f t="shared" si="12"/>
        <v>200000</v>
      </c>
      <c r="P84" s="196">
        <v>100000</v>
      </c>
      <c r="Q84" s="197">
        <v>50000</v>
      </c>
      <c r="R84" s="195">
        <v>50000</v>
      </c>
      <c r="S84" s="198">
        <f t="shared" si="14"/>
        <v>50000</v>
      </c>
      <c r="T84" s="198">
        <v>0</v>
      </c>
      <c r="U84" s="199">
        <f t="shared" si="15"/>
        <v>0</v>
      </c>
      <c r="V84" s="199"/>
      <c r="W84" s="200">
        <f t="shared" si="13"/>
        <v>1</v>
      </c>
    </row>
    <row r="85" spans="1:23" ht="18.75" x14ac:dyDescent="0.3">
      <c r="A85" s="1">
        <v>83</v>
      </c>
      <c r="B85" s="1" t="s">
        <v>540</v>
      </c>
      <c r="C85" s="12"/>
      <c r="D85" s="12"/>
      <c r="E85" s="12"/>
      <c r="F85" s="12"/>
      <c r="G85" s="12">
        <v>150000</v>
      </c>
      <c r="H85" s="12">
        <v>50000</v>
      </c>
      <c r="I85" s="12"/>
      <c r="J85" s="12"/>
      <c r="K85" s="12"/>
      <c r="L85" s="12"/>
      <c r="M85" s="12"/>
      <c r="N85" s="12"/>
      <c r="O85" s="12">
        <f t="shared" si="12"/>
        <v>200000</v>
      </c>
      <c r="P85" s="2">
        <v>100000</v>
      </c>
      <c r="Q85" s="3">
        <v>50000</v>
      </c>
      <c r="R85" s="12">
        <v>50000</v>
      </c>
      <c r="S85" s="26">
        <f t="shared" si="14"/>
        <v>50000</v>
      </c>
      <c r="T85" s="26">
        <v>0</v>
      </c>
      <c r="U85" s="22">
        <f t="shared" si="15"/>
        <v>0</v>
      </c>
      <c r="V85" s="22"/>
      <c r="W85" s="11">
        <f t="shared" si="13"/>
        <v>1</v>
      </c>
    </row>
    <row r="86" spans="1:23" ht="18.75" x14ac:dyDescent="0.3">
      <c r="A86" s="1">
        <v>84</v>
      </c>
      <c r="B86" s="1" t="s">
        <v>404</v>
      </c>
      <c r="C86" s="12"/>
      <c r="D86" s="12">
        <v>100000</v>
      </c>
      <c r="E86" s="12"/>
      <c r="F86" s="12"/>
      <c r="G86" s="12"/>
      <c r="H86" s="12"/>
      <c r="I86" s="12">
        <v>0</v>
      </c>
      <c r="J86" s="12"/>
      <c r="K86" s="12"/>
      <c r="L86" s="12"/>
      <c r="M86" s="12"/>
      <c r="N86" s="12"/>
      <c r="O86" s="12">
        <f t="shared" si="12"/>
        <v>100000</v>
      </c>
      <c r="P86" s="2"/>
      <c r="Q86" s="3">
        <v>50000</v>
      </c>
      <c r="R86" s="26">
        <v>50000</v>
      </c>
      <c r="S86" s="26">
        <f t="shared" si="14"/>
        <v>50000</v>
      </c>
      <c r="T86" s="26">
        <v>0</v>
      </c>
      <c r="U86" s="22">
        <f t="shared" si="15"/>
        <v>0</v>
      </c>
      <c r="V86" s="22"/>
      <c r="W86" s="11">
        <f t="shared" si="13"/>
        <v>0</v>
      </c>
    </row>
    <row r="87" spans="1:23" ht="18.75" x14ac:dyDescent="0.3">
      <c r="A87" s="1">
        <v>85</v>
      </c>
      <c r="B87" s="1" t="s">
        <v>498</v>
      </c>
      <c r="C87" s="12"/>
      <c r="D87" s="12"/>
      <c r="E87" s="12"/>
      <c r="F87" s="12">
        <v>50000</v>
      </c>
      <c r="G87" s="12"/>
      <c r="H87" s="12"/>
      <c r="I87" s="12"/>
      <c r="J87" s="12"/>
      <c r="K87" s="12"/>
      <c r="L87" s="12"/>
      <c r="M87" s="12"/>
      <c r="N87" s="12"/>
      <c r="O87" s="12">
        <f t="shared" si="12"/>
        <v>50000</v>
      </c>
      <c r="P87" s="2"/>
      <c r="Q87" s="3">
        <v>50000</v>
      </c>
      <c r="R87" s="12"/>
      <c r="S87" s="26">
        <f t="shared" si="14"/>
        <v>0</v>
      </c>
      <c r="T87" s="26">
        <v>0</v>
      </c>
      <c r="U87" s="22">
        <f t="shared" si="15"/>
        <v>0</v>
      </c>
      <c r="V87" s="22"/>
      <c r="W87" s="11">
        <f t="shared" si="13"/>
        <v>0</v>
      </c>
    </row>
    <row r="88" spans="1:23" ht="18.75" x14ac:dyDescent="0.3">
      <c r="A88" s="1">
        <v>86</v>
      </c>
      <c r="B88" s="1" t="s">
        <v>468</v>
      </c>
      <c r="C88" s="12"/>
      <c r="D88" s="12"/>
      <c r="E88" s="12">
        <v>1050000</v>
      </c>
      <c r="F88" s="12"/>
      <c r="G88" s="12"/>
      <c r="H88" s="12"/>
      <c r="I88" s="12"/>
      <c r="J88" s="12"/>
      <c r="K88" s="12"/>
      <c r="L88" s="12"/>
      <c r="M88" s="12"/>
      <c r="N88" s="12"/>
      <c r="O88" s="12">
        <f t="shared" si="12"/>
        <v>1050000</v>
      </c>
      <c r="P88" s="2">
        <v>1000000</v>
      </c>
      <c r="Q88" s="3">
        <v>50000</v>
      </c>
      <c r="R88" s="12"/>
      <c r="S88" s="26">
        <f t="shared" si="14"/>
        <v>0</v>
      </c>
      <c r="T88" s="26">
        <v>0</v>
      </c>
      <c r="U88" s="22">
        <f t="shared" si="15"/>
        <v>0</v>
      </c>
      <c r="V88" s="22"/>
      <c r="W88" s="11">
        <f t="shared" si="13"/>
        <v>10</v>
      </c>
    </row>
    <row r="89" spans="1:23" ht="18.75" x14ac:dyDescent="0.3">
      <c r="A89" s="1">
        <v>87</v>
      </c>
      <c r="B89" s="1" t="s">
        <v>576</v>
      </c>
      <c r="C89" s="12"/>
      <c r="D89" s="12"/>
      <c r="E89" s="12"/>
      <c r="F89" s="12"/>
      <c r="G89" s="12"/>
      <c r="H89" s="12">
        <v>950000</v>
      </c>
      <c r="I89" s="12"/>
      <c r="J89" s="12"/>
      <c r="K89" s="12"/>
      <c r="L89" s="12"/>
      <c r="M89" s="12"/>
      <c r="N89" s="12"/>
      <c r="O89" s="12">
        <f t="shared" si="12"/>
        <v>950000</v>
      </c>
      <c r="P89" s="2">
        <v>900000</v>
      </c>
      <c r="Q89" s="3">
        <v>50000</v>
      </c>
      <c r="R89" s="12"/>
      <c r="S89" s="26">
        <f t="shared" si="14"/>
        <v>0</v>
      </c>
      <c r="T89" s="26">
        <v>0</v>
      </c>
      <c r="U89" s="22">
        <f t="shared" si="15"/>
        <v>0</v>
      </c>
      <c r="V89" s="22"/>
      <c r="W89" s="11">
        <f t="shared" si="13"/>
        <v>9</v>
      </c>
    </row>
    <row r="90" spans="1:23" ht="18.75" x14ac:dyDescent="0.3">
      <c r="A90" s="1">
        <v>88</v>
      </c>
      <c r="B90" s="1" t="s">
        <v>496</v>
      </c>
      <c r="C90" s="12"/>
      <c r="D90" s="12"/>
      <c r="E90" s="12"/>
      <c r="F90" s="12">
        <v>150000</v>
      </c>
      <c r="G90" s="12"/>
      <c r="H90" s="12"/>
      <c r="I90" s="12"/>
      <c r="J90" s="12"/>
      <c r="K90" s="12"/>
      <c r="L90" s="12"/>
      <c r="M90" s="12"/>
      <c r="N90" s="12"/>
      <c r="O90" s="12">
        <f t="shared" si="12"/>
        <v>150000</v>
      </c>
      <c r="P90" s="2">
        <v>100000</v>
      </c>
      <c r="Q90" s="3">
        <v>50000</v>
      </c>
      <c r="R90" s="12"/>
      <c r="S90" s="26">
        <f t="shared" si="14"/>
        <v>0</v>
      </c>
      <c r="T90" s="26">
        <v>0</v>
      </c>
      <c r="U90" s="22">
        <f t="shared" si="15"/>
        <v>0</v>
      </c>
      <c r="V90" s="22"/>
      <c r="W90" s="11">
        <f t="shared" si="13"/>
        <v>1</v>
      </c>
    </row>
    <row r="91" spans="1:23" ht="18.75" x14ac:dyDescent="0.3">
      <c r="A91" s="1">
        <v>89</v>
      </c>
      <c r="B91" s="1" t="s">
        <v>542</v>
      </c>
      <c r="C91" s="12"/>
      <c r="D91" s="12"/>
      <c r="E91" s="12"/>
      <c r="F91" s="12"/>
      <c r="G91" s="12">
        <v>150000</v>
      </c>
      <c r="H91" s="12">
        <v>50000</v>
      </c>
      <c r="I91" s="12"/>
      <c r="J91" s="12"/>
      <c r="K91" s="12"/>
      <c r="L91" s="12"/>
      <c r="M91" s="12"/>
      <c r="N91" s="12"/>
      <c r="O91" s="12">
        <f t="shared" si="12"/>
        <v>200000</v>
      </c>
      <c r="P91" s="2">
        <v>100000</v>
      </c>
      <c r="Q91" s="3">
        <v>50000</v>
      </c>
      <c r="R91" s="12">
        <v>50000</v>
      </c>
      <c r="S91" s="26">
        <f t="shared" si="14"/>
        <v>50000</v>
      </c>
      <c r="T91" s="26">
        <v>0</v>
      </c>
      <c r="U91" s="22">
        <f t="shared" si="15"/>
        <v>0</v>
      </c>
      <c r="V91" s="22"/>
      <c r="W91" s="11">
        <f t="shared" si="13"/>
        <v>1</v>
      </c>
    </row>
    <row r="92" spans="1:23" ht="18.75" x14ac:dyDescent="0.3">
      <c r="A92" s="1">
        <v>90</v>
      </c>
      <c r="B92" s="1" t="s">
        <v>541</v>
      </c>
      <c r="C92" s="12"/>
      <c r="D92" s="12"/>
      <c r="E92" s="12"/>
      <c r="F92" s="12"/>
      <c r="G92" s="12">
        <v>500000</v>
      </c>
      <c r="H92" s="12"/>
      <c r="I92" s="12"/>
      <c r="J92" s="12"/>
      <c r="K92" s="12"/>
      <c r="L92" s="12"/>
      <c r="M92" s="12"/>
      <c r="N92" s="12"/>
      <c r="O92" s="12">
        <f t="shared" si="12"/>
        <v>500000</v>
      </c>
      <c r="P92" s="2">
        <v>500000</v>
      </c>
      <c r="Q92" s="3"/>
      <c r="R92" s="12"/>
      <c r="S92" s="26">
        <f t="shared" si="14"/>
        <v>0</v>
      </c>
      <c r="T92" s="26">
        <v>0</v>
      </c>
      <c r="U92" s="22">
        <f t="shared" si="15"/>
        <v>0</v>
      </c>
      <c r="V92" s="22"/>
      <c r="W92" s="11">
        <f t="shared" si="13"/>
        <v>5</v>
      </c>
    </row>
    <row r="93" spans="1:23" ht="18.75" x14ac:dyDescent="0.3">
      <c r="A93" s="1">
        <v>91</v>
      </c>
      <c r="B93" s="1" t="s">
        <v>469</v>
      </c>
      <c r="C93" s="12"/>
      <c r="D93" s="12"/>
      <c r="E93" s="12">
        <v>150000</v>
      </c>
      <c r="F93" s="12"/>
      <c r="G93" s="12"/>
      <c r="H93" s="12"/>
      <c r="I93" s="12"/>
      <c r="J93" s="12"/>
      <c r="K93" s="12"/>
      <c r="L93" s="12"/>
      <c r="M93" s="12"/>
      <c r="N93" s="12"/>
      <c r="O93" s="12">
        <f t="shared" si="12"/>
        <v>150000</v>
      </c>
      <c r="P93" s="2">
        <v>100000</v>
      </c>
      <c r="Q93" s="3">
        <v>50000</v>
      </c>
      <c r="R93" s="12"/>
      <c r="S93" s="26">
        <f t="shared" si="14"/>
        <v>0</v>
      </c>
      <c r="T93" s="26">
        <v>0</v>
      </c>
      <c r="U93" s="22">
        <f t="shared" si="15"/>
        <v>0</v>
      </c>
      <c r="V93" s="22"/>
      <c r="W93" s="11">
        <f t="shared" si="13"/>
        <v>1</v>
      </c>
    </row>
    <row r="94" spans="1:23" s="143" customFormat="1" ht="18.75" x14ac:dyDescent="0.3">
      <c r="A94" s="126">
        <v>92</v>
      </c>
      <c r="B94" s="126" t="s">
        <v>549</v>
      </c>
      <c r="C94" s="113"/>
      <c r="D94" s="113"/>
      <c r="E94" s="113"/>
      <c r="F94" s="113"/>
      <c r="G94" s="132"/>
      <c r="H94" s="113">
        <v>750000</v>
      </c>
      <c r="I94" s="113">
        <v>100000</v>
      </c>
      <c r="J94" s="113"/>
      <c r="K94" s="113"/>
      <c r="L94" s="113"/>
      <c r="M94" s="113"/>
      <c r="N94" s="113"/>
      <c r="O94" s="113">
        <f t="shared" si="12"/>
        <v>850000</v>
      </c>
      <c r="P94" s="127">
        <v>500000</v>
      </c>
      <c r="Q94" s="128">
        <v>50000</v>
      </c>
      <c r="R94" s="113">
        <f>200000+100000</f>
        <v>300000</v>
      </c>
      <c r="S94" s="129">
        <f t="shared" si="14"/>
        <v>300000</v>
      </c>
      <c r="T94" s="129">
        <v>0</v>
      </c>
      <c r="U94" s="130">
        <f t="shared" si="15"/>
        <v>0</v>
      </c>
      <c r="V94" s="130"/>
      <c r="W94" s="131">
        <f t="shared" si="13"/>
        <v>5</v>
      </c>
    </row>
    <row r="95" spans="1:23" ht="18.75" x14ac:dyDescent="0.3">
      <c r="A95" s="1">
        <v>93</v>
      </c>
      <c r="B95" s="1" t="s">
        <v>550</v>
      </c>
      <c r="C95" s="12"/>
      <c r="D95" s="12"/>
      <c r="E95" s="12"/>
      <c r="F95" s="12"/>
      <c r="G95" s="12"/>
      <c r="H95" s="12">
        <v>150000</v>
      </c>
      <c r="I95" s="12"/>
      <c r="J95" s="12"/>
      <c r="K95" s="12"/>
      <c r="L95" s="12"/>
      <c r="M95" s="12"/>
      <c r="N95" s="12"/>
      <c r="O95" s="12">
        <f t="shared" si="12"/>
        <v>150000</v>
      </c>
      <c r="P95" s="2">
        <v>100000</v>
      </c>
      <c r="Q95" s="3">
        <v>50000</v>
      </c>
      <c r="R95" s="12"/>
      <c r="S95" s="26">
        <f t="shared" si="14"/>
        <v>0</v>
      </c>
      <c r="T95" s="26">
        <v>0</v>
      </c>
      <c r="U95" s="22">
        <f t="shared" si="15"/>
        <v>0</v>
      </c>
      <c r="V95" s="22"/>
      <c r="W95" s="11">
        <f t="shared" si="13"/>
        <v>1</v>
      </c>
    </row>
    <row r="96" spans="1:23" ht="18.75" x14ac:dyDescent="0.3">
      <c r="A96" s="1">
        <v>94</v>
      </c>
      <c r="B96" s="1" t="s">
        <v>582</v>
      </c>
      <c r="C96" s="12"/>
      <c r="D96" s="12"/>
      <c r="E96" s="12"/>
      <c r="F96" s="12"/>
      <c r="G96" s="12"/>
      <c r="H96" s="12">
        <v>350000</v>
      </c>
      <c r="I96" s="12"/>
      <c r="J96" s="12"/>
      <c r="K96" s="12"/>
      <c r="L96" s="12"/>
      <c r="M96" s="12"/>
      <c r="N96" s="12"/>
      <c r="O96" s="12">
        <f t="shared" si="12"/>
        <v>350000</v>
      </c>
      <c r="P96" s="2">
        <v>300000</v>
      </c>
      <c r="Q96" s="3">
        <v>50000</v>
      </c>
      <c r="R96" s="12"/>
      <c r="S96" s="26">
        <f t="shared" si="14"/>
        <v>0</v>
      </c>
      <c r="T96" s="26">
        <v>0</v>
      </c>
      <c r="U96" s="22">
        <f t="shared" si="15"/>
        <v>0</v>
      </c>
      <c r="V96" s="22"/>
      <c r="W96" s="11">
        <f t="shared" si="13"/>
        <v>3</v>
      </c>
    </row>
    <row r="97" spans="1:23" ht="18.75" x14ac:dyDescent="0.3">
      <c r="A97" s="1">
        <v>95</v>
      </c>
      <c r="B97" s="1" t="s">
        <v>475</v>
      </c>
      <c r="C97" s="12"/>
      <c r="D97" s="12"/>
      <c r="E97" s="12">
        <v>50000</v>
      </c>
      <c r="F97" s="12"/>
      <c r="G97" s="12">
        <v>300000</v>
      </c>
      <c r="H97" s="12"/>
      <c r="I97" s="12"/>
      <c r="J97" s="12"/>
      <c r="K97" s="12"/>
      <c r="L97" s="12"/>
      <c r="M97" s="12"/>
      <c r="N97" s="12"/>
      <c r="O97" s="12">
        <f t="shared" si="12"/>
        <v>350000</v>
      </c>
      <c r="P97" s="8">
        <v>300000</v>
      </c>
      <c r="Q97" s="6">
        <v>50000</v>
      </c>
      <c r="R97" s="12"/>
      <c r="S97" s="26">
        <f t="shared" si="14"/>
        <v>0</v>
      </c>
      <c r="T97" s="26">
        <v>0</v>
      </c>
      <c r="U97" s="22">
        <f t="shared" si="15"/>
        <v>0</v>
      </c>
      <c r="V97" s="22"/>
      <c r="W97" s="11">
        <f t="shared" si="13"/>
        <v>3</v>
      </c>
    </row>
    <row r="98" spans="1:23" ht="18.75" x14ac:dyDescent="0.3">
      <c r="A98" s="1">
        <v>96</v>
      </c>
      <c r="B98" s="1" t="s">
        <v>176</v>
      </c>
      <c r="C98" s="12"/>
      <c r="D98" s="12"/>
      <c r="E98" s="12"/>
      <c r="F98" s="12"/>
      <c r="G98" s="12">
        <v>200000</v>
      </c>
      <c r="H98" s="12"/>
      <c r="I98" s="12"/>
      <c r="J98" s="12"/>
      <c r="K98" s="12"/>
      <c r="L98" s="12"/>
      <c r="M98" s="12"/>
      <c r="N98" s="12"/>
      <c r="O98" s="12">
        <f t="shared" si="12"/>
        <v>200000</v>
      </c>
      <c r="P98" s="2">
        <v>200000</v>
      </c>
      <c r="Q98" s="3"/>
      <c r="R98" s="12"/>
      <c r="S98" s="26">
        <f t="shared" si="14"/>
        <v>0</v>
      </c>
      <c r="T98" s="26">
        <v>0</v>
      </c>
      <c r="U98" s="22">
        <f t="shared" si="15"/>
        <v>0</v>
      </c>
      <c r="V98" s="22"/>
      <c r="W98" s="11">
        <f t="shared" si="13"/>
        <v>2</v>
      </c>
    </row>
    <row r="99" spans="1:23" ht="18.75" x14ac:dyDescent="0.3">
      <c r="A99" s="1">
        <v>97</v>
      </c>
      <c r="B99" s="1" t="s">
        <v>479</v>
      </c>
      <c r="C99" s="12"/>
      <c r="D99" s="12"/>
      <c r="E99" s="12">
        <v>150000</v>
      </c>
      <c r="F99" s="12"/>
      <c r="G99" s="12"/>
      <c r="H99" s="12"/>
      <c r="I99" s="12"/>
      <c r="J99" s="12"/>
      <c r="K99" s="12"/>
      <c r="L99" s="12"/>
      <c r="M99" s="12"/>
      <c r="N99" s="12"/>
      <c r="O99" s="12">
        <f t="shared" ref="O99:O130" si="16">SUM(C99:N99)</f>
        <v>150000</v>
      </c>
      <c r="P99" s="2">
        <v>100000</v>
      </c>
      <c r="Q99" s="3">
        <v>50000</v>
      </c>
      <c r="R99" s="12"/>
      <c r="S99" s="26">
        <f t="shared" si="14"/>
        <v>0</v>
      </c>
      <c r="T99" s="26">
        <v>0</v>
      </c>
      <c r="U99" s="22">
        <f t="shared" si="15"/>
        <v>0</v>
      </c>
      <c r="V99" s="22"/>
      <c r="W99" s="11">
        <f t="shared" si="13"/>
        <v>1</v>
      </c>
    </row>
    <row r="100" spans="1:23" ht="18.75" x14ac:dyDescent="0.3">
      <c r="A100" s="1">
        <v>98</v>
      </c>
      <c r="B100" s="1" t="s">
        <v>520</v>
      </c>
      <c r="C100" s="12"/>
      <c r="D100" s="12"/>
      <c r="E100" s="12"/>
      <c r="F100" s="12"/>
      <c r="G100" s="12">
        <v>150000</v>
      </c>
      <c r="H100" s="12">
        <v>250000</v>
      </c>
      <c r="I100" s="12"/>
      <c r="J100" s="12"/>
      <c r="K100" s="12"/>
      <c r="L100" s="12"/>
      <c r="M100" s="12"/>
      <c r="N100" s="12"/>
      <c r="O100" s="12">
        <f t="shared" si="16"/>
        <v>400000</v>
      </c>
      <c r="P100" s="2">
        <v>100000</v>
      </c>
      <c r="Q100" s="3">
        <v>50000</v>
      </c>
      <c r="R100" s="12">
        <v>250000</v>
      </c>
      <c r="S100" s="26">
        <f t="shared" si="14"/>
        <v>250000</v>
      </c>
      <c r="T100" s="26">
        <v>0</v>
      </c>
      <c r="U100" s="22">
        <f t="shared" si="15"/>
        <v>0</v>
      </c>
      <c r="V100" s="22"/>
      <c r="W100" s="11">
        <f t="shared" si="13"/>
        <v>1</v>
      </c>
    </row>
    <row r="101" spans="1:23" ht="18.75" x14ac:dyDescent="0.3">
      <c r="A101" s="1">
        <v>99</v>
      </c>
      <c r="B101" s="1" t="s">
        <v>590</v>
      </c>
      <c r="C101" s="12"/>
      <c r="D101" s="12"/>
      <c r="E101" s="12"/>
      <c r="F101" s="12"/>
      <c r="G101" s="12"/>
      <c r="H101" s="12">
        <v>150000</v>
      </c>
      <c r="I101" s="12"/>
      <c r="J101" s="12"/>
      <c r="K101" s="12"/>
      <c r="L101" s="12"/>
      <c r="M101" s="12"/>
      <c r="N101" s="12"/>
      <c r="O101" s="12">
        <f t="shared" si="16"/>
        <v>150000</v>
      </c>
      <c r="P101" s="2">
        <v>100000</v>
      </c>
      <c r="Q101" s="3">
        <v>50000</v>
      </c>
      <c r="R101" s="12"/>
      <c r="S101" s="26">
        <f t="shared" ref="S101:S111" si="17">R101-T101</f>
        <v>0</v>
      </c>
      <c r="T101" s="26"/>
      <c r="U101" s="22">
        <f t="shared" si="15"/>
        <v>0</v>
      </c>
      <c r="V101" s="22"/>
      <c r="W101" s="11">
        <f t="shared" si="13"/>
        <v>1</v>
      </c>
    </row>
    <row r="102" spans="1:23" ht="18.75" x14ac:dyDescent="0.3">
      <c r="A102" s="1">
        <v>100</v>
      </c>
      <c r="B102" s="1" t="s">
        <v>555</v>
      </c>
      <c r="C102" s="12"/>
      <c r="D102" s="12"/>
      <c r="E102" s="12"/>
      <c r="F102" s="12"/>
      <c r="G102" s="12"/>
      <c r="H102" s="12">
        <v>200000</v>
      </c>
      <c r="I102" s="12"/>
      <c r="J102" s="12"/>
      <c r="K102" s="12"/>
      <c r="L102" s="12"/>
      <c r="M102" s="12"/>
      <c r="N102" s="12"/>
      <c r="O102" s="12">
        <f t="shared" si="16"/>
        <v>200000</v>
      </c>
      <c r="P102" s="2">
        <v>100000</v>
      </c>
      <c r="Q102" s="3">
        <v>50000</v>
      </c>
      <c r="R102" s="12">
        <v>50000</v>
      </c>
      <c r="S102" s="26">
        <f t="shared" si="17"/>
        <v>50000</v>
      </c>
      <c r="T102" s="26">
        <v>0</v>
      </c>
      <c r="U102" s="22">
        <f t="shared" si="15"/>
        <v>0</v>
      </c>
      <c r="V102" s="22"/>
      <c r="W102" s="11">
        <f t="shared" si="13"/>
        <v>1</v>
      </c>
    </row>
    <row r="103" spans="1:23" ht="18.75" x14ac:dyDescent="0.3">
      <c r="A103" s="1">
        <v>101</v>
      </c>
      <c r="B103" s="1" t="s">
        <v>553</v>
      </c>
      <c r="C103" s="12"/>
      <c r="D103" s="12"/>
      <c r="E103" s="12"/>
      <c r="F103" s="12"/>
      <c r="G103" s="12"/>
      <c r="H103" s="12">
        <v>150000</v>
      </c>
      <c r="I103" s="12"/>
      <c r="J103" s="12"/>
      <c r="K103" s="12"/>
      <c r="L103" s="12"/>
      <c r="M103" s="12"/>
      <c r="N103" s="12"/>
      <c r="O103" s="12">
        <f t="shared" si="16"/>
        <v>150000</v>
      </c>
      <c r="P103" s="2">
        <v>100000</v>
      </c>
      <c r="Q103" s="3">
        <v>50000</v>
      </c>
      <c r="R103" s="12"/>
      <c r="S103" s="26">
        <f t="shared" si="17"/>
        <v>0</v>
      </c>
      <c r="T103" s="26">
        <v>0</v>
      </c>
      <c r="U103" s="22">
        <f t="shared" si="15"/>
        <v>0</v>
      </c>
      <c r="V103" s="22"/>
      <c r="W103" s="11">
        <f t="shared" si="13"/>
        <v>1</v>
      </c>
    </row>
    <row r="104" spans="1:23" ht="18.75" x14ac:dyDescent="0.3">
      <c r="A104" s="1">
        <v>102</v>
      </c>
      <c r="B104" s="1" t="s">
        <v>536</v>
      </c>
      <c r="C104" s="12"/>
      <c r="D104" s="12"/>
      <c r="E104" s="12"/>
      <c r="F104" s="12"/>
      <c r="G104" s="12">
        <v>150000</v>
      </c>
      <c r="H104" s="12"/>
      <c r="I104" s="12"/>
      <c r="J104" s="12"/>
      <c r="K104" s="12"/>
      <c r="L104" s="12"/>
      <c r="M104" s="12"/>
      <c r="N104" s="12"/>
      <c r="O104" s="12">
        <f t="shared" si="16"/>
        <v>150000</v>
      </c>
      <c r="P104" s="2">
        <v>100000</v>
      </c>
      <c r="Q104" s="3">
        <v>50000</v>
      </c>
      <c r="R104" s="12"/>
      <c r="S104" s="26">
        <f t="shared" si="17"/>
        <v>0</v>
      </c>
      <c r="T104" s="26">
        <v>0</v>
      </c>
      <c r="U104" s="22">
        <f t="shared" si="15"/>
        <v>0</v>
      </c>
      <c r="V104" s="22"/>
      <c r="W104" s="11">
        <f t="shared" si="13"/>
        <v>1</v>
      </c>
    </row>
    <row r="105" spans="1:23" ht="18.75" x14ac:dyDescent="0.3">
      <c r="A105" s="1">
        <v>103</v>
      </c>
      <c r="B105" s="1" t="s">
        <v>447</v>
      </c>
      <c r="C105" s="12"/>
      <c r="D105" s="12"/>
      <c r="E105" s="12">
        <v>200000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>
        <f t="shared" si="16"/>
        <v>200000</v>
      </c>
      <c r="P105" s="2">
        <v>200000</v>
      </c>
      <c r="Q105" s="3"/>
      <c r="R105" s="12"/>
      <c r="S105" s="26">
        <f t="shared" si="17"/>
        <v>0</v>
      </c>
      <c r="T105" s="26">
        <v>0</v>
      </c>
      <c r="U105" s="22">
        <f t="shared" si="15"/>
        <v>0</v>
      </c>
      <c r="V105" s="22"/>
      <c r="W105" s="11">
        <f t="shared" si="13"/>
        <v>2</v>
      </c>
    </row>
    <row r="106" spans="1:23" ht="18.75" x14ac:dyDescent="0.3">
      <c r="A106" s="1">
        <v>104</v>
      </c>
      <c r="B106" s="1" t="s">
        <v>446</v>
      </c>
      <c r="C106" s="12"/>
      <c r="D106" s="12"/>
      <c r="E106" s="12">
        <v>150000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>
        <f t="shared" si="16"/>
        <v>150000</v>
      </c>
      <c r="P106" s="2">
        <v>100000</v>
      </c>
      <c r="Q106" s="3">
        <v>50000</v>
      </c>
      <c r="R106" s="12"/>
      <c r="S106" s="26">
        <f t="shared" si="17"/>
        <v>0</v>
      </c>
      <c r="T106" s="26">
        <v>0</v>
      </c>
      <c r="U106" s="22">
        <f t="shared" si="15"/>
        <v>0</v>
      </c>
      <c r="V106" s="22"/>
      <c r="W106" s="11">
        <f t="shared" si="13"/>
        <v>1</v>
      </c>
    </row>
    <row r="107" spans="1:23" ht="18.75" x14ac:dyDescent="0.3">
      <c r="A107" s="1">
        <v>105</v>
      </c>
      <c r="B107" s="1" t="s">
        <v>556</v>
      </c>
      <c r="C107" s="12"/>
      <c r="D107" s="12"/>
      <c r="E107" s="12"/>
      <c r="F107" s="12"/>
      <c r="G107" s="12"/>
      <c r="H107" s="12">
        <v>150000</v>
      </c>
      <c r="I107" s="12"/>
      <c r="J107" s="12"/>
      <c r="K107" s="12"/>
      <c r="L107" s="12"/>
      <c r="M107" s="12"/>
      <c r="N107" s="12"/>
      <c r="O107" s="12">
        <f t="shared" si="16"/>
        <v>150000</v>
      </c>
      <c r="P107" s="2">
        <v>100000</v>
      </c>
      <c r="Q107" s="3">
        <v>50000</v>
      </c>
      <c r="R107" s="12"/>
      <c r="S107" s="26">
        <f t="shared" si="17"/>
        <v>0</v>
      </c>
      <c r="T107" s="26">
        <v>0</v>
      </c>
      <c r="U107" s="22">
        <f t="shared" si="15"/>
        <v>0</v>
      </c>
      <c r="V107" s="22"/>
      <c r="W107" s="11">
        <f t="shared" si="13"/>
        <v>1</v>
      </c>
    </row>
    <row r="108" spans="1:23" ht="18.75" x14ac:dyDescent="0.3">
      <c r="A108" s="1">
        <v>106</v>
      </c>
      <c r="B108" s="1" t="s">
        <v>543</v>
      </c>
      <c r="C108" s="12"/>
      <c r="D108" s="12"/>
      <c r="E108" s="12"/>
      <c r="F108" s="12"/>
      <c r="G108" s="12">
        <v>150000</v>
      </c>
      <c r="H108" s="12"/>
      <c r="I108" s="12"/>
      <c r="J108" s="12"/>
      <c r="K108" s="12"/>
      <c r="L108" s="12"/>
      <c r="M108" s="12"/>
      <c r="N108" s="12"/>
      <c r="O108" s="12">
        <f t="shared" si="16"/>
        <v>150000</v>
      </c>
      <c r="P108" s="2">
        <v>100000</v>
      </c>
      <c r="Q108" s="3">
        <v>50000</v>
      </c>
      <c r="R108" s="12"/>
      <c r="S108" s="26">
        <f t="shared" si="17"/>
        <v>0</v>
      </c>
      <c r="T108" s="26">
        <v>0</v>
      </c>
      <c r="U108" s="22">
        <f t="shared" si="15"/>
        <v>0</v>
      </c>
      <c r="V108" s="22"/>
      <c r="W108" s="11">
        <f t="shared" si="13"/>
        <v>1</v>
      </c>
    </row>
    <row r="109" spans="1:23" s="173" customFormat="1" ht="18.75" x14ac:dyDescent="0.3">
      <c r="A109" s="166">
        <v>107</v>
      </c>
      <c r="B109" s="166" t="s">
        <v>203</v>
      </c>
      <c r="C109" s="167"/>
      <c r="D109" s="167"/>
      <c r="E109" s="167"/>
      <c r="F109" s="167"/>
      <c r="G109" s="167">
        <f>400000+400000</f>
        <v>800000</v>
      </c>
      <c r="H109" s="167"/>
      <c r="I109" s="167"/>
      <c r="J109" s="167"/>
      <c r="K109" s="167"/>
      <c r="L109" s="167"/>
      <c r="M109" s="167"/>
      <c r="N109" s="167"/>
      <c r="O109" s="167">
        <f t="shared" si="16"/>
        <v>800000</v>
      </c>
      <c r="P109" s="168">
        <f>400000+400000</f>
        <v>800000</v>
      </c>
      <c r="Q109" s="169"/>
      <c r="R109" s="167"/>
      <c r="S109" s="170">
        <f t="shared" si="17"/>
        <v>0</v>
      </c>
      <c r="T109" s="170">
        <v>0</v>
      </c>
      <c r="U109" s="171">
        <f t="shared" si="15"/>
        <v>0</v>
      </c>
      <c r="V109" s="171"/>
      <c r="W109" s="172">
        <f t="shared" si="13"/>
        <v>8</v>
      </c>
    </row>
    <row r="110" spans="1:23" ht="18.75" x14ac:dyDescent="0.3">
      <c r="A110" s="1">
        <v>108</v>
      </c>
      <c r="B110" s="1" t="s">
        <v>445</v>
      </c>
      <c r="C110" s="12"/>
      <c r="D110" s="12"/>
      <c r="E110" s="12">
        <v>300000</v>
      </c>
      <c r="F110" s="12"/>
      <c r="G110" s="12">
        <v>300000</v>
      </c>
      <c r="H110" s="12"/>
      <c r="I110" s="12"/>
      <c r="J110" s="12"/>
      <c r="K110" s="12"/>
      <c r="L110" s="12"/>
      <c r="M110" s="12"/>
      <c r="N110" s="12"/>
      <c r="O110" s="12">
        <f t="shared" si="16"/>
        <v>600000</v>
      </c>
      <c r="P110" s="2">
        <f>300000+300000</f>
        <v>600000</v>
      </c>
      <c r="Q110" s="3"/>
      <c r="R110" s="12"/>
      <c r="S110" s="26">
        <f t="shared" si="17"/>
        <v>0</v>
      </c>
      <c r="T110" s="26">
        <v>0</v>
      </c>
      <c r="U110" s="22">
        <f t="shared" si="15"/>
        <v>0</v>
      </c>
      <c r="V110" s="22"/>
      <c r="W110" s="11">
        <f t="shared" si="13"/>
        <v>6</v>
      </c>
    </row>
    <row r="111" spans="1:23" s="202" customFormat="1" ht="18.75" x14ac:dyDescent="0.3">
      <c r="A111" s="194">
        <v>109</v>
      </c>
      <c r="B111" s="194" t="s">
        <v>616</v>
      </c>
      <c r="C111" s="195"/>
      <c r="D111" s="195"/>
      <c r="E111" s="195"/>
      <c r="F111" s="195"/>
      <c r="G111" s="195"/>
      <c r="H111" s="195">
        <v>100000</v>
      </c>
      <c r="I111" s="195">
        <v>50000</v>
      </c>
      <c r="J111" s="195"/>
      <c r="K111" s="195"/>
      <c r="L111" s="195"/>
      <c r="M111" s="195"/>
      <c r="N111" s="195"/>
      <c r="O111" s="195">
        <f t="shared" si="16"/>
        <v>150000</v>
      </c>
      <c r="P111" s="196">
        <v>100000</v>
      </c>
      <c r="Q111" s="197">
        <v>50000</v>
      </c>
      <c r="R111" s="195"/>
      <c r="S111" s="198">
        <f t="shared" si="17"/>
        <v>0</v>
      </c>
      <c r="T111" s="198"/>
      <c r="U111" s="199"/>
      <c r="V111" s="199"/>
      <c r="W111" s="200">
        <f t="shared" si="13"/>
        <v>1</v>
      </c>
    </row>
    <row r="112" spans="1:23" ht="18.75" x14ac:dyDescent="0.3">
      <c r="A112" s="1">
        <v>110</v>
      </c>
      <c r="B112" s="1" t="s">
        <v>211</v>
      </c>
      <c r="C112" s="12"/>
      <c r="D112" s="12"/>
      <c r="E112" s="12">
        <v>100000</v>
      </c>
      <c r="F112" s="12"/>
      <c r="G112" s="12">
        <v>100000</v>
      </c>
      <c r="H112" s="12"/>
      <c r="I112" s="12"/>
      <c r="J112" s="12"/>
      <c r="K112" s="12"/>
      <c r="L112" s="12"/>
      <c r="M112" s="12"/>
      <c r="N112" s="12"/>
      <c r="O112" s="12">
        <f t="shared" si="16"/>
        <v>200000</v>
      </c>
      <c r="P112" s="2">
        <f>100000+100000</f>
        <v>200000</v>
      </c>
      <c r="Q112" s="3"/>
      <c r="R112" s="12"/>
      <c r="S112" s="26">
        <f t="shared" ref="S112:S121" si="18">R112-T112</f>
        <v>0</v>
      </c>
      <c r="T112" s="26">
        <v>0</v>
      </c>
      <c r="U112" s="22">
        <f>O112-(P112+Q112+R112)</f>
        <v>0</v>
      </c>
      <c r="V112" s="22"/>
      <c r="W112" s="11">
        <f t="shared" si="13"/>
        <v>2</v>
      </c>
    </row>
    <row r="113" spans="1:23" ht="18.75" x14ac:dyDescent="0.3">
      <c r="A113" s="1">
        <v>111</v>
      </c>
      <c r="B113" s="1" t="s">
        <v>566</v>
      </c>
      <c r="C113" s="12"/>
      <c r="D113" s="12"/>
      <c r="E113" s="12"/>
      <c r="F113" s="12"/>
      <c r="G113" s="12"/>
      <c r="H113" s="12">
        <v>150000</v>
      </c>
      <c r="I113" s="12"/>
      <c r="J113" s="12"/>
      <c r="K113" s="12"/>
      <c r="L113" s="12"/>
      <c r="M113" s="12"/>
      <c r="N113" s="12"/>
      <c r="O113" s="12">
        <f t="shared" si="16"/>
        <v>150000</v>
      </c>
      <c r="P113" s="2">
        <v>100000</v>
      </c>
      <c r="Q113" s="3">
        <v>50000</v>
      </c>
      <c r="R113" s="12"/>
      <c r="S113" s="26">
        <f t="shared" si="18"/>
        <v>0</v>
      </c>
      <c r="T113" s="26">
        <v>0</v>
      </c>
      <c r="U113" s="22">
        <f>O113-(P113+Q113+R113)</f>
        <v>0</v>
      </c>
      <c r="V113" s="22"/>
      <c r="W113" s="11">
        <f t="shared" si="13"/>
        <v>1</v>
      </c>
    </row>
    <row r="114" spans="1:23" ht="18.75" x14ac:dyDescent="0.3">
      <c r="A114" s="1">
        <v>112</v>
      </c>
      <c r="B114" s="1" t="s">
        <v>564</v>
      </c>
      <c r="C114" s="12"/>
      <c r="D114" s="12"/>
      <c r="E114" s="12"/>
      <c r="F114" s="12"/>
      <c r="G114" s="12"/>
      <c r="H114" s="12">
        <v>250000</v>
      </c>
      <c r="I114" s="12"/>
      <c r="J114" s="12"/>
      <c r="K114" s="12"/>
      <c r="L114" s="12"/>
      <c r="M114" s="12"/>
      <c r="N114" s="12"/>
      <c r="O114" s="12">
        <f t="shared" si="16"/>
        <v>250000</v>
      </c>
      <c r="P114" s="2">
        <v>200000</v>
      </c>
      <c r="Q114" s="3">
        <v>50000</v>
      </c>
      <c r="R114" s="12"/>
      <c r="S114" s="26">
        <f t="shared" si="18"/>
        <v>0</v>
      </c>
      <c r="T114" s="26">
        <v>0</v>
      </c>
      <c r="U114" s="22">
        <f>O114-(P114+Q114+R114)</f>
        <v>0</v>
      </c>
      <c r="V114" s="22"/>
      <c r="W114" s="11">
        <f t="shared" si="13"/>
        <v>2</v>
      </c>
    </row>
    <row r="115" spans="1:23" ht="18.75" x14ac:dyDescent="0.3">
      <c r="A115" s="1">
        <v>113</v>
      </c>
      <c r="B115" s="1" t="s">
        <v>507</v>
      </c>
      <c r="C115" s="12"/>
      <c r="D115" s="12"/>
      <c r="E115" s="12"/>
      <c r="F115" s="12"/>
      <c r="G115" s="12">
        <f>500000+50000</f>
        <v>550000</v>
      </c>
      <c r="H115" s="12">
        <v>50000</v>
      </c>
      <c r="I115" s="12"/>
      <c r="J115" s="12"/>
      <c r="K115" s="12"/>
      <c r="L115" s="12"/>
      <c r="M115" s="12"/>
      <c r="N115" s="12"/>
      <c r="O115" s="12">
        <f t="shared" si="16"/>
        <v>600000</v>
      </c>
      <c r="P115" s="2">
        <v>500000</v>
      </c>
      <c r="Q115" s="3">
        <v>50000</v>
      </c>
      <c r="R115" s="12">
        <v>50000</v>
      </c>
      <c r="S115" s="26">
        <f t="shared" si="18"/>
        <v>50000</v>
      </c>
      <c r="T115" s="26">
        <v>0</v>
      </c>
      <c r="U115" s="22">
        <f>O115-(P115+Q115+R115)</f>
        <v>0</v>
      </c>
      <c r="V115" s="22"/>
      <c r="W115" s="11">
        <f t="shared" si="13"/>
        <v>5</v>
      </c>
    </row>
    <row r="116" spans="1:23" ht="18.75" x14ac:dyDescent="0.3">
      <c r="A116" s="1">
        <v>114</v>
      </c>
      <c r="B116" s="1" t="s">
        <v>624</v>
      </c>
      <c r="C116" s="12"/>
      <c r="D116" s="12"/>
      <c r="E116" s="12"/>
      <c r="F116" s="12"/>
      <c r="G116" s="12"/>
      <c r="H116" s="12">
        <v>5650000</v>
      </c>
      <c r="I116" s="12"/>
      <c r="J116" s="12"/>
      <c r="K116" s="12"/>
      <c r="L116" s="12"/>
      <c r="M116" s="12"/>
      <c r="N116" s="12"/>
      <c r="O116" s="12">
        <f t="shared" si="16"/>
        <v>5650000</v>
      </c>
      <c r="P116" s="2">
        <v>5600000</v>
      </c>
      <c r="Q116" s="3">
        <v>50000</v>
      </c>
      <c r="R116" s="12"/>
      <c r="S116" s="26">
        <f t="shared" si="18"/>
        <v>0</v>
      </c>
      <c r="T116" s="26"/>
      <c r="U116" s="22"/>
      <c r="V116" s="22"/>
      <c r="W116" s="11">
        <f t="shared" si="13"/>
        <v>56</v>
      </c>
    </row>
    <row r="117" spans="1:23" ht="18.75" x14ac:dyDescent="0.3">
      <c r="A117" s="1">
        <v>115</v>
      </c>
      <c r="B117" s="1" t="s">
        <v>509</v>
      </c>
      <c r="C117" s="12"/>
      <c r="D117" s="12"/>
      <c r="E117" s="12"/>
      <c r="F117" s="12"/>
      <c r="G117" s="12">
        <v>1534600</v>
      </c>
      <c r="H117" s="12"/>
      <c r="I117" s="12"/>
      <c r="J117" s="12"/>
      <c r="K117" s="12"/>
      <c r="L117" s="12"/>
      <c r="M117" s="12"/>
      <c r="N117" s="12"/>
      <c r="O117" s="12">
        <f t="shared" si="16"/>
        <v>1534600</v>
      </c>
      <c r="P117" s="2">
        <v>1000000</v>
      </c>
      <c r="Q117" s="3">
        <v>50000</v>
      </c>
      <c r="R117" s="12">
        <v>484600</v>
      </c>
      <c r="S117" s="26">
        <f t="shared" si="18"/>
        <v>484600</v>
      </c>
      <c r="T117" s="26">
        <v>0</v>
      </c>
      <c r="U117" s="22">
        <f>O117-(P117+Q117+R117)</f>
        <v>0</v>
      </c>
      <c r="V117" s="22"/>
      <c r="W117" s="11">
        <f t="shared" si="13"/>
        <v>10</v>
      </c>
    </row>
    <row r="118" spans="1:23" ht="18.75" x14ac:dyDescent="0.3">
      <c r="A118" s="1">
        <v>116</v>
      </c>
      <c r="B118" s="1" t="s">
        <v>223</v>
      </c>
      <c r="C118" s="12"/>
      <c r="D118" s="12"/>
      <c r="E118" s="12"/>
      <c r="F118" s="12"/>
      <c r="G118" s="12"/>
      <c r="H118" s="12">
        <v>200000</v>
      </c>
      <c r="I118" s="12"/>
      <c r="J118" s="12"/>
      <c r="K118" s="12"/>
      <c r="L118" s="12"/>
      <c r="M118" s="12"/>
      <c r="N118" s="12"/>
      <c r="O118" s="12">
        <f t="shared" si="16"/>
        <v>200000</v>
      </c>
      <c r="P118" s="2">
        <v>200000</v>
      </c>
      <c r="Q118" s="3"/>
      <c r="R118" s="12"/>
      <c r="S118" s="26">
        <f t="shared" si="18"/>
        <v>0</v>
      </c>
      <c r="T118" s="26">
        <v>0</v>
      </c>
      <c r="U118" s="22">
        <f>O118-(P118+Q118+R118)</f>
        <v>0</v>
      </c>
      <c r="V118" s="22"/>
      <c r="W118" s="11">
        <f t="shared" si="13"/>
        <v>2</v>
      </c>
    </row>
    <row r="119" spans="1:23" ht="18.75" x14ac:dyDescent="0.3">
      <c r="A119" s="1">
        <v>117</v>
      </c>
      <c r="B119" s="1" t="s">
        <v>559</v>
      </c>
      <c r="C119" s="12"/>
      <c r="D119" s="12"/>
      <c r="E119" s="12"/>
      <c r="F119" s="12"/>
      <c r="G119" s="12"/>
      <c r="H119" s="12">
        <f>150000</f>
        <v>150000</v>
      </c>
      <c r="I119" s="12"/>
      <c r="J119" s="12"/>
      <c r="K119" s="12"/>
      <c r="L119" s="12"/>
      <c r="M119" s="12"/>
      <c r="N119" s="12"/>
      <c r="O119" s="12">
        <f t="shared" si="16"/>
        <v>150000</v>
      </c>
      <c r="P119" s="2">
        <v>100000</v>
      </c>
      <c r="Q119" s="3">
        <v>50000</v>
      </c>
      <c r="R119" s="12"/>
      <c r="S119" s="26">
        <f t="shared" si="18"/>
        <v>0</v>
      </c>
      <c r="T119" s="26">
        <v>0</v>
      </c>
      <c r="U119" s="22">
        <f>O119-(P119+Q119+R119)</f>
        <v>0</v>
      </c>
      <c r="V119" s="22"/>
      <c r="W119" s="11">
        <f t="shared" si="13"/>
        <v>1</v>
      </c>
    </row>
    <row r="120" spans="1:23" ht="18.75" x14ac:dyDescent="0.3">
      <c r="A120" s="1">
        <v>118</v>
      </c>
      <c r="B120" s="1" t="s">
        <v>492</v>
      </c>
      <c r="C120" s="12"/>
      <c r="D120" s="12"/>
      <c r="E120" s="12">
        <v>50000</v>
      </c>
      <c r="F120" s="12">
        <v>300000</v>
      </c>
      <c r="G120" s="12"/>
      <c r="H120" s="12"/>
      <c r="I120" s="12"/>
      <c r="J120" s="12"/>
      <c r="K120" s="12"/>
      <c r="L120" s="12"/>
      <c r="M120" s="12"/>
      <c r="N120" s="12"/>
      <c r="O120" s="12">
        <f t="shared" si="16"/>
        <v>350000</v>
      </c>
      <c r="P120" s="2">
        <v>300000</v>
      </c>
      <c r="Q120" s="3">
        <v>50000</v>
      </c>
      <c r="R120" s="12"/>
      <c r="S120" s="26">
        <f t="shared" si="18"/>
        <v>0</v>
      </c>
      <c r="T120" s="26">
        <v>0</v>
      </c>
      <c r="U120" s="22">
        <f>O120-(P120+Q120+R120)</f>
        <v>0</v>
      </c>
      <c r="V120" s="22"/>
      <c r="W120" s="11">
        <f t="shared" si="13"/>
        <v>3</v>
      </c>
    </row>
    <row r="121" spans="1:23" ht="18.75" x14ac:dyDescent="0.3">
      <c r="A121" s="1">
        <v>119</v>
      </c>
      <c r="B121" s="1" t="s">
        <v>623</v>
      </c>
      <c r="C121" s="12"/>
      <c r="D121" s="12"/>
      <c r="E121" s="12"/>
      <c r="F121" s="12"/>
      <c r="G121" s="12"/>
      <c r="H121" s="12">
        <v>102000</v>
      </c>
      <c r="I121" s="12"/>
      <c r="J121" s="12"/>
      <c r="K121" s="12"/>
      <c r="L121" s="12"/>
      <c r="M121" s="12"/>
      <c r="N121" s="12"/>
      <c r="O121" s="12">
        <f t="shared" si="16"/>
        <v>102000</v>
      </c>
      <c r="P121" s="2">
        <v>100000</v>
      </c>
      <c r="Q121" s="3"/>
      <c r="R121" s="12">
        <v>2000</v>
      </c>
      <c r="S121" s="26">
        <f t="shared" si="18"/>
        <v>2000</v>
      </c>
      <c r="T121" s="26"/>
      <c r="U121" s="22"/>
      <c r="V121" s="22"/>
      <c r="W121" s="11">
        <f t="shared" si="13"/>
        <v>1</v>
      </c>
    </row>
    <row r="122" spans="1:23" ht="18.75" x14ac:dyDescent="0.3">
      <c r="A122" s="1">
        <v>120</v>
      </c>
      <c r="B122" s="1" t="s">
        <v>491</v>
      </c>
      <c r="C122" s="12"/>
      <c r="D122" s="12"/>
      <c r="E122" s="12"/>
      <c r="F122" s="12">
        <v>150000</v>
      </c>
      <c r="G122" s="12"/>
      <c r="H122" s="12"/>
      <c r="I122" s="12"/>
      <c r="J122" s="12"/>
      <c r="K122" s="12"/>
      <c r="L122" s="12"/>
      <c r="M122" s="12"/>
      <c r="N122" s="12"/>
      <c r="O122" s="12">
        <f t="shared" si="16"/>
        <v>150000</v>
      </c>
      <c r="P122" s="2">
        <v>100000</v>
      </c>
      <c r="Q122" s="3">
        <v>50000</v>
      </c>
      <c r="R122" s="12"/>
      <c r="S122" s="26">
        <f t="shared" ref="S122:S135" si="19">R122-T122</f>
        <v>0</v>
      </c>
      <c r="T122" s="26">
        <v>0</v>
      </c>
      <c r="U122" s="22">
        <f t="shared" ref="U122:U134" si="20">O122-(P122+Q122+R122)</f>
        <v>0</v>
      </c>
      <c r="V122" s="22"/>
      <c r="W122" s="11">
        <f t="shared" si="13"/>
        <v>1</v>
      </c>
    </row>
    <row r="123" spans="1:23" ht="18.75" x14ac:dyDescent="0.3">
      <c r="A123" s="1">
        <v>121</v>
      </c>
      <c r="B123" s="1" t="s">
        <v>405</v>
      </c>
      <c r="C123" s="12"/>
      <c r="D123" s="12">
        <v>150000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>
        <f t="shared" si="16"/>
        <v>150000</v>
      </c>
      <c r="P123" s="2">
        <v>100000</v>
      </c>
      <c r="Q123" s="3">
        <v>50000</v>
      </c>
      <c r="R123" s="12"/>
      <c r="S123" s="26">
        <f t="shared" si="19"/>
        <v>0</v>
      </c>
      <c r="T123" s="26">
        <v>0</v>
      </c>
      <c r="U123" s="22">
        <f t="shared" si="20"/>
        <v>0</v>
      </c>
      <c r="V123" s="22"/>
      <c r="W123" s="11">
        <f t="shared" si="13"/>
        <v>1</v>
      </c>
    </row>
    <row r="124" spans="1:23" ht="18.75" x14ac:dyDescent="0.3">
      <c r="A124" s="1">
        <v>122</v>
      </c>
      <c r="B124" s="53" t="s">
        <v>494</v>
      </c>
      <c r="C124" s="80"/>
      <c r="D124" s="80"/>
      <c r="E124" s="80"/>
      <c r="F124" s="80">
        <v>350000</v>
      </c>
      <c r="G124" s="80"/>
      <c r="H124" s="80">
        <v>100000</v>
      </c>
      <c r="I124" s="80"/>
      <c r="J124" s="12"/>
      <c r="K124" s="80"/>
      <c r="L124" s="80"/>
      <c r="M124" s="80"/>
      <c r="N124" s="80"/>
      <c r="O124" s="80">
        <f t="shared" si="16"/>
        <v>450000</v>
      </c>
      <c r="P124" s="86">
        <v>300000</v>
      </c>
      <c r="Q124" s="81">
        <v>50000</v>
      </c>
      <c r="R124" s="80">
        <v>100000</v>
      </c>
      <c r="S124" s="26">
        <f t="shared" si="19"/>
        <v>100000</v>
      </c>
      <c r="T124" s="82">
        <v>0</v>
      </c>
      <c r="U124" s="83" t="e">
        <f>O124-(P124+Q124+#REF!)</f>
        <v>#REF!</v>
      </c>
      <c r="V124" s="83"/>
      <c r="W124" s="11">
        <f t="shared" si="13"/>
        <v>3</v>
      </c>
    </row>
    <row r="125" spans="1:23" ht="18.75" x14ac:dyDescent="0.3">
      <c r="A125" s="1">
        <v>123</v>
      </c>
      <c r="B125" s="53" t="s">
        <v>444</v>
      </c>
      <c r="C125" s="80"/>
      <c r="D125" s="80"/>
      <c r="E125" s="80">
        <v>150000</v>
      </c>
      <c r="F125" s="80"/>
      <c r="G125" s="80"/>
      <c r="H125" s="7"/>
      <c r="I125" s="80"/>
      <c r="J125" s="80"/>
      <c r="K125" s="80"/>
      <c r="L125" s="80"/>
      <c r="M125" s="80"/>
      <c r="N125" s="80"/>
      <c r="O125" s="80">
        <f t="shared" si="16"/>
        <v>150000</v>
      </c>
      <c r="P125" s="86">
        <v>100000</v>
      </c>
      <c r="Q125" s="81">
        <v>50000</v>
      </c>
      <c r="R125" s="7"/>
      <c r="S125" s="26">
        <f t="shared" si="19"/>
        <v>0</v>
      </c>
      <c r="T125" s="82">
        <v>0</v>
      </c>
      <c r="U125" s="83">
        <f>O125-(P125+Q125+R124)</f>
        <v>-100000</v>
      </c>
      <c r="V125" s="83"/>
      <c r="W125" s="11">
        <f t="shared" si="13"/>
        <v>1</v>
      </c>
    </row>
    <row r="126" spans="1:23" ht="18.75" x14ac:dyDescent="0.3">
      <c r="A126" s="1">
        <v>124</v>
      </c>
      <c r="B126" s="1" t="s">
        <v>535</v>
      </c>
      <c r="C126" s="12"/>
      <c r="D126" s="12"/>
      <c r="E126" s="12"/>
      <c r="F126" s="12"/>
      <c r="G126" s="12">
        <v>150000</v>
      </c>
      <c r="H126" s="12"/>
      <c r="I126" s="12"/>
      <c r="J126" s="12"/>
      <c r="K126" s="12"/>
      <c r="L126" s="12"/>
      <c r="M126" s="12"/>
      <c r="N126" s="12"/>
      <c r="O126" s="12">
        <f t="shared" si="16"/>
        <v>150000</v>
      </c>
      <c r="P126" s="2">
        <v>100000</v>
      </c>
      <c r="Q126" s="3">
        <v>50000</v>
      </c>
      <c r="R126" s="12"/>
      <c r="S126" s="26">
        <f t="shared" si="19"/>
        <v>0</v>
      </c>
      <c r="T126" s="26">
        <v>0</v>
      </c>
      <c r="U126" s="22">
        <f t="shared" si="20"/>
        <v>0</v>
      </c>
      <c r="V126" s="22"/>
      <c r="W126" s="11">
        <f t="shared" si="13"/>
        <v>1</v>
      </c>
    </row>
    <row r="127" spans="1:23" ht="18.75" x14ac:dyDescent="0.3">
      <c r="A127" s="1">
        <v>125</v>
      </c>
      <c r="B127" s="1" t="s">
        <v>538</v>
      </c>
      <c r="C127" s="12"/>
      <c r="D127" s="12"/>
      <c r="E127" s="12"/>
      <c r="F127" s="12"/>
      <c r="G127" s="12">
        <f>1100000+100000</f>
        <v>1200000</v>
      </c>
      <c r="H127" s="12"/>
      <c r="I127" s="12"/>
      <c r="J127" s="12"/>
      <c r="K127" s="12"/>
      <c r="L127" s="12"/>
      <c r="M127" s="12"/>
      <c r="N127" s="12"/>
      <c r="O127" s="12">
        <f t="shared" si="16"/>
        <v>1200000</v>
      </c>
      <c r="P127" s="2">
        <v>1100000</v>
      </c>
      <c r="Q127" s="3">
        <v>50000</v>
      </c>
      <c r="R127" s="12">
        <v>50000</v>
      </c>
      <c r="S127" s="26">
        <f t="shared" si="19"/>
        <v>50000</v>
      </c>
      <c r="T127" s="26">
        <v>0</v>
      </c>
      <c r="U127" s="22">
        <f t="shared" si="20"/>
        <v>0</v>
      </c>
      <c r="V127" s="22"/>
      <c r="W127" s="11">
        <f t="shared" si="13"/>
        <v>11</v>
      </c>
    </row>
    <row r="128" spans="1:23" ht="18.75" x14ac:dyDescent="0.3">
      <c r="A128" s="1">
        <v>126</v>
      </c>
      <c r="B128" s="1" t="s">
        <v>570</v>
      </c>
      <c r="C128" s="12"/>
      <c r="D128" s="12"/>
      <c r="E128" s="12"/>
      <c r="F128" s="12"/>
      <c r="G128" s="12"/>
      <c r="H128" s="12">
        <v>200000</v>
      </c>
      <c r="I128" s="12"/>
      <c r="J128" s="12"/>
      <c r="K128" s="12"/>
      <c r="L128" s="12"/>
      <c r="M128" s="12"/>
      <c r="N128" s="12"/>
      <c r="O128" s="12">
        <f t="shared" si="16"/>
        <v>200000</v>
      </c>
      <c r="P128" s="2">
        <v>100000</v>
      </c>
      <c r="Q128" s="3">
        <v>50000</v>
      </c>
      <c r="R128" s="12">
        <v>50000</v>
      </c>
      <c r="S128" s="26">
        <f t="shared" si="19"/>
        <v>50000</v>
      </c>
      <c r="T128" s="26">
        <v>0</v>
      </c>
      <c r="U128" s="22">
        <f t="shared" si="20"/>
        <v>0</v>
      </c>
      <c r="V128" s="22"/>
      <c r="W128" s="11">
        <f t="shared" si="13"/>
        <v>1</v>
      </c>
    </row>
    <row r="129" spans="1:23" ht="18.75" x14ac:dyDescent="0.3">
      <c r="A129" s="1">
        <v>127</v>
      </c>
      <c r="B129" s="1" t="s">
        <v>554</v>
      </c>
      <c r="C129" s="12"/>
      <c r="D129" s="12"/>
      <c r="E129" s="12"/>
      <c r="F129" s="12"/>
      <c r="G129" s="12"/>
      <c r="H129" s="12">
        <v>250000</v>
      </c>
      <c r="I129" s="12"/>
      <c r="J129" s="12"/>
      <c r="K129" s="12"/>
      <c r="L129" s="12"/>
      <c r="M129" s="12"/>
      <c r="N129" s="12"/>
      <c r="O129" s="12">
        <f t="shared" si="16"/>
        <v>250000</v>
      </c>
      <c r="P129" s="2">
        <v>100000</v>
      </c>
      <c r="Q129" s="3">
        <v>50000</v>
      </c>
      <c r="R129" s="12">
        <v>100000</v>
      </c>
      <c r="S129" s="26">
        <f t="shared" si="19"/>
        <v>100000</v>
      </c>
      <c r="T129" s="26">
        <v>0</v>
      </c>
      <c r="U129" s="22">
        <f t="shared" si="20"/>
        <v>0</v>
      </c>
      <c r="V129" s="22"/>
      <c r="W129" s="11">
        <f t="shared" si="13"/>
        <v>1</v>
      </c>
    </row>
    <row r="130" spans="1:23" ht="18.75" x14ac:dyDescent="0.3">
      <c r="A130" s="1">
        <v>128</v>
      </c>
      <c r="B130" s="1" t="s">
        <v>571</v>
      </c>
      <c r="C130" s="12"/>
      <c r="D130" s="12"/>
      <c r="E130" s="12"/>
      <c r="F130" s="12"/>
      <c r="G130" s="12"/>
      <c r="H130" s="12">
        <v>150000</v>
      </c>
      <c r="I130" s="12">
        <v>100000</v>
      </c>
      <c r="J130" s="12"/>
      <c r="K130" s="12"/>
      <c r="L130" s="12"/>
      <c r="M130" s="12"/>
      <c r="N130" s="12"/>
      <c r="O130" s="12">
        <f t="shared" si="16"/>
        <v>250000</v>
      </c>
      <c r="P130" s="2">
        <f>100000+100000</f>
        <v>200000</v>
      </c>
      <c r="Q130" s="3">
        <v>50000</v>
      </c>
      <c r="R130" s="12"/>
      <c r="S130" s="26">
        <f t="shared" si="19"/>
        <v>0</v>
      </c>
      <c r="T130" s="26">
        <v>0</v>
      </c>
      <c r="U130" s="22">
        <f t="shared" si="20"/>
        <v>0</v>
      </c>
      <c r="V130" s="22"/>
      <c r="W130" s="11">
        <f t="shared" si="13"/>
        <v>2</v>
      </c>
    </row>
    <row r="131" spans="1:23" ht="18.75" x14ac:dyDescent="0.3">
      <c r="A131" s="1">
        <v>129</v>
      </c>
      <c r="B131" s="1" t="s">
        <v>514</v>
      </c>
      <c r="C131" s="12"/>
      <c r="D131" s="12"/>
      <c r="E131" s="12"/>
      <c r="F131" s="12"/>
      <c r="G131" s="12">
        <v>260000</v>
      </c>
      <c r="H131" s="12">
        <v>30000</v>
      </c>
      <c r="I131" s="12"/>
      <c r="J131" s="12"/>
      <c r="K131" s="12"/>
      <c r="L131" s="12"/>
      <c r="M131" s="12"/>
      <c r="N131" s="12"/>
      <c r="O131" s="12">
        <f t="shared" ref="O131:O162" si="21">SUM(C131:N131)</f>
        <v>290000</v>
      </c>
      <c r="P131" s="2">
        <v>100000</v>
      </c>
      <c r="Q131" s="3">
        <v>50000</v>
      </c>
      <c r="R131" s="12">
        <f>110000+30000</f>
        <v>140000</v>
      </c>
      <c r="S131" s="26">
        <f t="shared" si="19"/>
        <v>140000</v>
      </c>
      <c r="T131" s="26">
        <v>0</v>
      </c>
      <c r="U131" s="22">
        <f t="shared" si="20"/>
        <v>0</v>
      </c>
      <c r="V131" s="22"/>
      <c r="W131" s="11">
        <f t="shared" si="13"/>
        <v>1</v>
      </c>
    </row>
    <row r="132" spans="1:23" ht="18.75" x14ac:dyDescent="0.3">
      <c r="A132" s="1">
        <v>130</v>
      </c>
      <c r="B132" s="1" t="s">
        <v>502</v>
      </c>
      <c r="C132" s="12"/>
      <c r="D132" s="12"/>
      <c r="E132" s="12"/>
      <c r="F132" s="12"/>
      <c r="G132" s="12">
        <f>230000+70000</f>
        <v>300000</v>
      </c>
      <c r="H132" s="12"/>
      <c r="I132" s="12"/>
      <c r="J132" s="12"/>
      <c r="K132" s="12"/>
      <c r="L132" s="12"/>
      <c r="M132" s="12"/>
      <c r="N132" s="12"/>
      <c r="O132" s="12">
        <f t="shared" si="21"/>
        <v>300000</v>
      </c>
      <c r="P132" s="2">
        <v>100000</v>
      </c>
      <c r="Q132" s="3">
        <v>50000</v>
      </c>
      <c r="R132" s="12">
        <f>80000+70000</f>
        <v>150000</v>
      </c>
      <c r="S132" s="26">
        <f t="shared" si="19"/>
        <v>150000</v>
      </c>
      <c r="T132" s="26">
        <v>0</v>
      </c>
      <c r="U132" s="22">
        <f t="shared" si="20"/>
        <v>0</v>
      </c>
      <c r="V132" s="22"/>
      <c r="W132" s="11">
        <f t="shared" ref="W132:W193" si="22">P132/100000</f>
        <v>1</v>
      </c>
    </row>
    <row r="133" spans="1:23" ht="18.75" x14ac:dyDescent="0.3">
      <c r="A133" s="1">
        <v>131</v>
      </c>
      <c r="B133" s="1" t="s">
        <v>497</v>
      </c>
      <c r="C133" s="12"/>
      <c r="D133" s="12"/>
      <c r="E133" s="12"/>
      <c r="F133" s="12">
        <v>533000</v>
      </c>
      <c r="G133" s="12">
        <f>200000+400000</f>
        <v>600000</v>
      </c>
      <c r="H133" s="12"/>
      <c r="I133" s="12">
        <v>200000</v>
      </c>
      <c r="J133" s="12"/>
      <c r="K133" s="12"/>
      <c r="L133" s="12"/>
      <c r="M133" s="12"/>
      <c r="N133" s="12"/>
      <c r="O133" s="12">
        <f t="shared" si="21"/>
        <v>1333000</v>
      </c>
      <c r="P133" s="2">
        <f>400000+100000</f>
        <v>500000</v>
      </c>
      <c r="Q133" s="3">
        <v>50000</v>
      </c>
      <c r="R133" s="12">
        <f>83000+100000+400000+200000</f>
        <v>783000</v>
      </c>
      <c r="S133" s="26">
        <f t="shared" si="19"/>
        <v>783000</v>
      </c>
      <c r="T133" s="26">
        <v>0</v>
      </c>
      <c r="U133" s="22">
        <f t="shared" si="20"/>
        <v>0</v>
      </c>
      <c r="V133" s="22"/>
      <c r="W133" s="11">
        <f t="shared" si="22"/>
        <v>5</v>
      </c>
    </row>
    <row r="134" spans="1:23" ht="18.75" x14ac:dyDescent="0.3">
      <c r="A134" s="1">
        <v>132</v>
      </c>
      <c r="B134" s="1" t="s">
        <v>516</v>
      </c>
      <c r="C134" s="12"/>
      <c r="D134" s="12"/>
      <c r="E134" s="12"/>
      <c r="F134" s="12"/>
      <c r="G134" s="12">
        <v>1250000</v>
      </c>
      <c r="H134" s="12"/>
      <c r="I134" s="12"/>
      <c r="J134" s="12"/>
      <c r="K134" s="12"/>
      <c r="L134" s="12"/>
      <c r="M134" s="12"/>
      <c r="N134" s="12"/>
      <c r="O134" s="12">
        <f t="shared" si="21"/>
        <v>1250000</v>
      </c>
      <c r="P134" s="2">
        <v>1000000</v>
      </c>
      <c r="Q134" s="3">
        <v>50000</v>
      </c>
      <c r="R134" s="12">
        <v>200000</v>
      </c>
      <c r="S134" s="26">
        <f t="shared" si="19"/>
        <v>200000</v>
      </c>
      <c r="T134" s="26">
        <v>0</v>
      </c>
      <c r="U134" s="22">
        <f t="shared" si="20"/>
        <v>0</v>
      </c>
      <c r="V134" s="22"/>
      <c r="W134" s="11">
        <f t="shared" si="22"/>
        <v>10</v>
      </c>
    </row>
    <row r="135" spans="1:23" ht="18.75" x14ac:dyDescent="0.3">
      <c r="A135" s="1">
        <v>133</v>
      </c>
      <c r="B135" s="1" t="s">
        <v>606</v>
      </c>
      <c r="C135" s="12"/>
      <c r="D135" s="12"/>
      <c r="E135" s="12"/>
      <c r="F135" s="12"/>
      <c r="G135" s="12"/>
      <c r="H135" s="12">
        <v>150000</v>
      </c>
      <c r="I135" s="12"/>
      <c r="J135" s="12"/>
      <c r="K135" s="12"/>
      <c r="L135" s="12"/>
      <c r="M135" s="12"/>
      <c r="N135" s="12"/>
      <c r="O135" s="12">
        <f t="shared" si="21"/>
        <v>150000</v>
      </c>
      <c r="P135" s="2">
        <v>100000</v>
      </c>
      <c r="Q135" s="3">
        <v>50000</v>
      </c>
      <c r="R135" s="12"/>
      <c r="S135" s="26">
        <f t="shared" si="19"/>
        <v>0</v>
      </c>
      <c r="T135" s="26"/>
      <c r="U135" s="22"/>
      <c r="V135" s="22"/>
      <c r="W135" s="11">
        <f t="shared" si="22"/>
        <v>1</v>
      </c>
    </row>
    <row r="136" spans="1:23" s="165" customFormat="1" ht="18.75" x14ac:dyDescent="0.3">
      <c r="A136" s="156">
        <v>134</v>
      </c>
      <c r="B136" s="156" t="s">
        <v>580</v>
      </c>
      <c r="C136" s="157"/>
      <c r="D136" s="157"/>
      <c r="E136" s="157"/>
      <c r="F136" s="157"/>
      <c r="G136" s="157"/>
      <c r="H136" s="157">
        <v>150000</v>
      </c>
      <c r="I136" s="157">
        <v>50000</v>
      </c>
      <c r="J136" s="157"/>
      <c r="K136" s="157"/>
      <c r="L136" s="157"/>
      <c r="M136" s="157"/>
      <c r="N136" s="157"/>
      <c r="O136" s="157">
        <f t="shared" si="21"/>
        <v>200000</v>
      </c>
      <c r="P136" s="158">
        <v>100000</v>
      </c>
      <c r="Q136" s="159">
        <v>50000</v>
      </c>
      <c r="R136" s="157">
        <v>50000</v>
      </c>
      <c r="S136" s="160">
        <f>R136-T136</f>
        <v>50000</v>
      </c>
      <c r="T136" s="160">
        <v>0</v>
      </c>
      <c r="U136" s="161">
        <f>O136-(P136+Q136+R136)</f>
        <v>0</v>
      </c>
      <c r="V136" s="161"/>
      <c r="W136" s="162">
        <f t="shared" si="22"/>
        <v>1</v>
      </c>
    </row>
    <row r="137" spans="1:23" ht="18.75" x14ac:dyDescent="0.3">
      <c r="A137" s="1">
        <v>135</v>
      </c>
      <c r="B137" s="1" t="s">
        <v>533</v>
      </c>
      <c r="C137" s="12"/>
      <c r="D137" s="12"/>
      <c r="E137" s="12"/>
      <c r="F137" s="12"/>
      <c r="G137" s="12">
        <v>150000</v>
      </c>
      <c r="H137" s="12"/>
      <c r="I137" s="12"/>
      <c r="J137" s="12"/>
      <c r="K137" s="12"/>
      <c r="L137" s="12"/>
      <c r="M137" s="12"/>
      <c r="N137" s="12"/>
      <c r="O137" s="12">
        <f t="shared" si="21"/>
        <v>150000</v>
      </c>
      <c r="P137" s="2">
        <v>100000</v>
      </c>
      <c r="Q137" s="3">
        <v>50000</v>
      </c>
      <c r="R137" s="12"/>
      <c r="S137" s="26">
        <f>R137-T137</f>
        <v>0</v>
      </c>
      <c r="T137" s="26">
        <v>0</v>
      </c>
      <c r="U137" s="22">
        <f>O137-(P137+Q137+R137)</f>
        <v>0</v>
      </c>
      <c r="V137" s="22"/>
      <c r="W137" s="11">
        <f t="shared" si="22"/>
        <v>1</v>
      </c>
    </row>
    <row r="138" spans="1:23" ht="18.75" x14ac:dyDescent="0.3">
      <c r="A138" s="1">
        <v>136</v>
      </c>
      <c r="B138" s="1" t="s">
        <v>568</v>
      </c>
      <c r="C138" s="12"/>
      <c r="D138" s="12"/>
      <c r="E138" s="12"/>
      <c r="F138" s="12"/>
      <c r="G138" s="12"/>
      <c r="H138" s="12">
        <v>1050000</v>
      </c>
      <c r="I138" s="12"/>
      <c r="J138" s="12"/>
      <c r="K138" s="12"/>
      <c r="L138" s="12"/>
      <c r="M138" s="12"/>
      <c r="N138" s="12"/>
      <c r="O138" s="12">
        <f t="shared" si="21"/>
        <v>1050000</v>
      </c>
      <c r="P138" s="2">
        <v>1000000</v>
      </c>
      <c r="Q138" s="3">
        <v>50000</v>
      </c>
      <c r="R138" s="12"/>
      <c r="S138" s="26">
        <f>R138-T138</f>
        <v>0</v>
      </c>
      <c r="T138" s="26">
        <v>0</v>
      </c>
      <c r="U138" s="22">
        <f>O138-(P138+Q138+R138)</f>
        <v>0</v>
      </c>
      <c r="V138" s="22"/>
      <c r="W138" s="11">
        <f t="shared" si="22"/>
        <v>10</v>
      </c>
    </row>
    <row r="139" spans="1:23" ht="18.75" x14ac:dyDescent="0.3">
      <c r="A139" s="1">
        <v>137</v>
      </c>
      <c r="B139" s="1" t="s">
        <v>620</v>
      </c>
      <c r="C139" s="12"/>
      <c r="D139" s="12"/>
      <c r="E139" s="12"/>
      <c r="F139" s="12"/>
      <c r="G139" s="12"/>
      <c r="H139" s="12">
        <v>150000</v>
      </c>
      <c r="I139" s="12"/>
      <c r="J139" s="12"/>
      <c r="K139" s="12"/>
      <c r="L139" s="12"/>
      <c r="M139" s="12"/>
      <c r="N139" s="12"/>
      <c r="O139" s="12">
        <f t="shared" si="21"/>
        <v>150000</v>
      </c>
      <c r="P139" s="2">
        <v>100000</v>
      </c>
      <c r="Q139" s="3">
        <v>50000</v>
      </c>
      <c r="R139" s="12"/>
      <c r="S139" s="26">
        <f>R139-T139</f>
        <v>0</v>
      </c>
      <c r="T139" s="26"/>
      <c r="U139" s="22"/>
      <c r="V139" s="22"/>
      <c r="W139" s="11">
        <f t="shared" si="22"/>
        <v>1</v>
      </c>
    </row>
    <row r="140" spans="1:23" ht="18.75" x14ac:dyDescent="0.3">
      <c r="A140" s="1">
        <v>138</v>
      </c>
      <c r="B140" s="1" t="s">
        <v>508</v>
      </c>
      <c r="C140" s="12"/>
      <c r="D140" s="12"/>
      <c r="E140" s="12"/>
      <c r="F140" s="12"/>
      <c r="G140" s="16">
        <v>300000</v>
      </c>
      <c r="H140" s="12"/>
      <c r="I140" s="12"/>
      <c r="J140" s="12"/>
      <c r="K140" s="12"/>
      <c r="L140" s="12"/>
      <c r="M140" s="12"/>
      <c r="N140" s="12"/>
      <c r="O140" s="12">
        <f t="shared" si="21"/>
        <v>300000</v>
      </c>
      <c r="P140" s="2">
        <v>300000</v>
      </c>
      <c r="Q140" s="3"/>
      <c r="R140" s="12"/>
      <c r="S140" s="26">
        <f t="shared" ref="S140:S152" si="23">R140-T140</f>
        <v>0</v>
      </c>
      <c r="T140" s="26">
        <v>0</v>
      </c>
      <c r="U140" s="22">
        <f t="shared" ref="U140:U151" si="24">O140-(P140+Q140+R140)</f>
        <v>0</v>
      </c>
      <c r="V140" s="22"/>
      <c r="W140" s="11">
        <f t="shared" si="22"/>
        <v>3</v>
      </c>
    </row>
    <row r="141" spans="1:23" ht="18.75" x14ac:dyDescent="0.3">
      <c r="A141" s="1">
        <v>139</v>
      </c>
      <c r="B141" s="1" t="s">
        <v>537</v>
      </c>
      <c r="C141" s="12"/>
      <c r="D141" s="12"/>
      <c r="E141" s="12"/>
      <c r="F141" s="12"/>
      <c r="G141" s="12">
        <v>200000</v>
      </c>
      <c r="H141" s="12"/>
      <c r="I141" s="12"/>
      <c r="J141" s="12"/>
      <c r="K141" s="12"/>
      <c r="L141" s="12"/>
      <c r="M141" s="12"/>
      <c r="N141" s="12"/>
      <c r="O141" s="12">
        <f t="shared" si="21"/>
        <v>200000</v>
      </c>
      <c r="P141" s="2">
        <v>100000</v>
      </c>
      <c r="Q141" s="3">
        <v>50000</v>
      </c>
      <c r="R141" s="12">
        <v>50000</v>
      </c>
      <c r="S141" s="26">
        <f t="shared" si="23"/>
        <v>50000</v>
      </c>
      <c r="T141" s="26">
        <v>0</v>
      </c>
      <c r="U141" s="22">
        <f t="shared" si="24"/>
        <v>0</v>
      </c>
      <c r="V141" s="22"/>
      <c r="W141" s="11">
        <f t="shared" si="22"/>
        <v>1</v>
      </c>
    </row>
    <row r="142" spans="1:23" ht="18.75" x14ac:dyDescent="0.3">
      <c r="A142" s="1">
        <v>140</v>
      </c>
      <c r="B142" s="1" t="s">
        <v>499</v>
      </c>
      <c r="C142" s="12"/>
      <c r="D142" s="12"/>
      <c r="E142" s="12"/>
      <c r="F142" s="12">
        <v>200000</v>
      </c>
      <c r="G142" s="12">
        <v>70000</v>
      </c>
      <c r="H142" s="12">
        <v>70000</v>
      </c>
      <c r="I142" s="12"/>
      <c r="J142" s="12"/>
      <c r="K142" s="12"/>
      <c r="L142" s="12"/>
      <c r="M142" s="12"/>
      <c r="N142" s="12"/>
      <c r="O142" s="12">
        <f t="shared" si="21"/>
        <v>340000</v>
      </c>
      <c r="P142" s="2">
        <v>100000</v>
      </c>
      <c r="Q142" s="3">
        <v>50000</v>
      </c>
      <c r="R142" s="12">
        <f>50000+70000+70000</f>
        <v>190000</v>
      </c>
      <c r="S142" s="26">
        <f t="shared" si="23"/>
        <v>190000</v>
      </c>
      <c r="T142" s="26">
        <v>0</v>
      </c>
      <c r="U142" s="22">
        <f t="shared" si="24"/>
        <v>0</v>
      </c>
      <c r="V142" s="22"/>
      <c r="W142" s="11">
        <f t="shared" si="22"/>
        <v>1</v>
      </c>
    </row>
    <row r="143" spans="1:23" ht="18.75" x14ac:dyDescent="0.3">
      <c r="A143" s="1">
        <v>141</v>
      </c>
      <c r="B143" s="1" t="s">
        <v>528</v>
      </c>
      <c r="C143" s="12"/>
      <c r="D143" s="12"/>
      <c r="E143" s="12"/>
      <c r="F143" s="12"/>
      <c r="G143" s="12">
        <v>150000</v>
      </c>
      <c r="H143" s="12"/>
      <c r="I143" s="12"/>
      <c r="J143" s="12"/>
      <c r="K143" s="12"/>
      <c r="L143" s="12"/>
      <c r="M143" s="12"/>
      <c r="N143" s="12"/>
      <c r="O143" s="12">
        <f t="shared" si="21"/>
        <v>150000</v>
      </c>
      <c r="P143" s="2">
        <v>100000</v>
      </c>
      <c r="Q143" s="3">
        <v>50000</v>
      </c>
      <c r="R143" s="12"/>
      <c r="S143" s="26">
        <f t="shared" si="23"/>
        <v>0</v>
      </c>
      <c r="T143" s="26">
        <v>0</v>
      </c>
      <c r="U143" s="22">
        <f t="shared" si="24"/>
        <v>0</v>
      </c>
      <c r="V143" s="22"/>
      <c r="W143" s="11">
        <f t="shared" si="22"/>
        <v>1</v>
      </c>
    </row>
    <row r="144" spans="1:23" ht="18.75" x14ac:dyDescent="0.3">
      <c r="A144" s="1">
        <v>142</v>
      </c>
      <c r="B144" s="1" t="s">
        <v>532</v>
      </c>
      <c r="C144" s="12"/>
      <c r="D144" s="12"/>
      <c r="E144" s="12"/>
      <c r="F144" s="12"/>
      <c r="G144" s="12">
        <v>50000</v>
      </c>
      <c r="H144" s="12"/>
      <c r="I144" s="12"/>
      <c r="J144" s="12"/>
      <c r="K144" s="12"/>
      <c r="L144" s="12"/>
      <c r="M144" s="12"/>
      <c r="N144" s="12"/>
      <c r="O144" s="12">
        <f t="shared" si="21"/>
        <v>50000</v>
      </c>
      <c r="P144" s="2"/>
      <c r="Q144" s="3">
        <v>50000</v>
      </c>
      <c r="R144" s="12"/>
      <c r="S144" s="26">
        <f t="shared" si="23"/>
        <v>0</v>
      </c>
      <c r="T144" s="26">
        <v>0</v>
      </c>
      <c r="U144" s="22">
        <f t="shared" si="24"/>
        <v>0</v>
      </c>
      <c r="V144" s="22"/>
      <c r="W144" s="11">
        <f t="shared" si="22"/>
        <v>0</v>
      </c>
    </row>
    <row r="145" spans="1:23" ht="18.75" x14ac:dyDescent="0.3">
      <c r="A145" s="1">
        <v>143</v>
      </c>
      <c r="B145" s="1" t="s">
        <v>488</v>
      </c>
      <c r="C145" s="12"/>
      <c r="D145" s="12"/>
      <c r="E145" s="12"/>
      <c r="F145" s="12">
        <v>250000</v>
      </c>
      <c r="G145" s="12"/>
      <c r="H145" s="12">
        <v>100000</v>
      </c>
      <c r="I145" s="12"/>
      <c r="J145" s="12"/>
      <c r="K145" s="12"/>
      <c r="L145" s="12"/>
      <c r="M145" s="12"/>
      <c r="N145" s="12"/>
      <c r="O145" s="12">
        <f t="shared" si="21"/>
        <v>350000</v>
      </c>
      <c r="P145" s="2">
        <v>200000</v>
      </c>
      <c r="Q145" s="3">
        <v>50000</v>
      </c>
      <c r="R145" s="12">
        <v>100000</v>
      </c>
      <c r="S145" s="26">
        <f t="shared" si="23"/>
        <v>100000</v>
      </c>
      <c r="T145" s="26">
        <v>0</v>
      </c>
      <c r="U145" s="22">
        <f t="shared" si="24"/>
        <v>0</v>
      </c>
      <c r="V145" s="22"/>
      <c r="W145" s="11">
        <f t="shared" si="22"/>
        <v>2</v>
      </c>
    </row>
    <row r="146" spans="1:23" s="165" customFormat="1" ht="18.75" x14ac:dyDescent="0.3">
      <c r="A146" s="156">
        <v>144</v>
      </c>
      <c r="B146" s="156" t="s">
        <v>557</v>
      </c>
      <c r="C146" s="157"/>
      <c r="D146" s="157"/>
      <c r="E146" s="157"/>
      <c r="F146" s="157"/>
      <c r="G146" s="157"/>
      <c r="H146" s="157">
        <v>260000</v>
      </c>
      <c r="I146" s="157">
        <v>50000</v>
      </c>
      <c r="J146" s="157"/>
      <c r="K146" s="157"/>
      <c r="L146" s="157"/>
      <c r="M146" s="157"/>
      <c r="N146" s="157"/>
      <c r="O146" s="157">
        <f t="shared" si="21"/>
        <v>310000</v>
      </c>
      <c r="P146" s="158">
        <v>200000</v>
      </c>
      <c r="Q146" s="159">
        <v>50000</v>
      </c>
      <c r="R146" s="157">
        <f>10000+50000</f>
        <v>60000</v>
      </c>
      <c r="S146" s="160">
        <f t="shared" si="23"/>
        <v>60000</v>
      </c>
      <c r="T146" s="160">
        <v>0</v>
      </c>
      <c r="U146" s="161">
        <f t="shared" si="24"/>
        <v>0</v>
      </c>
      <c r="V146" s="161"/>
      <c r="W146" s="162">
        <f t="shared" si="22"/>
        <v>2</v>
      </c>
    </row>
    <row r="147" spans="1:23" s="143" customFormat="1" ht="18.75" x14ac:dyDescent="0.3">
      <c r="A147" s="126">
        <v>145</v>
      </c>
      <c r="B147" s="126" t="s">
        <v>434</v>
      </c>
      <c r="C147" s="113"/>
      <c r="D147" s="113">
        <f>50000+100000</f>
        <v>150000</v>
      </c>
      <c r="E147" s="113"/>
      <c r="F147" s="113">
        <v>450000</v>
      </c>
      <c r="G147" s="113"/>
      <c r="H147" s="113"/>
      <c r="I147" s="113">
        <v>600000</v>
      </c>
      <c r="J147" s="113"/>
      <c r="K147" s="113"/>
      <c r="L147" s="113"/>
      <c r="M147" s="113"/>
      <c r="N147" s="113"/>
      <c r="O147" s="113">
        <f t="shared" si="21"/>
        <v>1200000</v>
      </c>
      <c r="P147" s="127">
        <f>100000+400000+600000</f>
        <v>1100000</v>
      </c>
      <c r="Q147" s="128">
        <v>50000</v>
      </c>
      <c r="R147" s="113">
        <v>50000</v>
      </c>
      <c r="S147" s="129">
        <f t="shared" si="23"/>
        <v>50000</v>
      </c>
      <c r="T147" s="129">
        <v>0</v>
      </c>
      <c r="U147" s="130">
        <f t="shared" si="24"/>
        <v>0</v>
      </c>
      <c r="V147" s="130"/>
      <c r="W147" s="131">
        <f t="shared" si="22"/>
        <v>11</v>
      </c>
    </row>
    <row r="148" spans="1:23" ht="18.75" x14ac:dyDescent="0.3">
      <c r="A148" s="1">
        <v>146</v>
      </c>
      <c r="B148" s="1" t="s">
        <v>526</v>
      </c>
      <c r="C148" s="12"/>
      <c r="D148" s="12"/>
      <c r="E148" s="12"/>
      <c r="F148" s="12"/>
      <c r="G148" s="12">
        <v>350000</v>
      </c>
      <c r="H148" s="12"/>
      <c r="I148" s="12"/>
      <c r="J148" s="12"/>
      <c r="K148" s="12"/>
      <c r="L148" s="12"/>
      <c r="M148" s="12"/>
      <c r="N148" s="12"/>
      <c r="O148" s="12">
        <f t="shared" si="21"/>
        <v>350000</v>
      </c>
      <c r="P148" s="2">
        <v>300000</v>
      </c>
      <c r="Q148" s="3">
        <v>50000</v>
      </c>
      <c r="R148" s="12"/>
      <c r="S148" s="26">
        <f t="shared" si="23"/>
        <v>0</v>
      </c>
      <c r="T148" s="26">
        <v>0</v>
      </c>
      <c r="U148" s="22">
        <f t="shared" si="24"/>
        <v>0</v>
      </c>
      <c r="V148" s="22"/>
      <c r="W148" s="11">
        <f t="shared" si="22"/>
        <v>3</v>
      </c>
    </row>
    <row r="149" spans="1:23" ht="18.75" x14ac:dyDescent="0.3">
      <c r="A149" s="1">
        <v>147</v>
      </c>
      <c r="B149" s="1" t="s">
        <v>433</v>
      </c>
      <c r="C149" s="12"/>
      <c r="D149" s="12">
        <v>50000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>
        <f t="shared" si="21"/>
        <v>50000</v>
      </c>
      <c r="P149" s="2"/>
      <c r="Q149" s="3">
        <v>50000</v>
      </c>
      <c r="R149" s="12"/>
      <c r="S149" s="26">
        <f t="shared" si="23"/>
        <v>0</v>
      </c>
      <c r="T149" s="26">
        <v>0</v>
      </c>
      <c r="U149" s="22">
        <f t="shared" si="24"/>
        <v>0</v>
      </c>
      <c r="V149" s="22"/>
      <c r="W149" s="11">
        <f t="shared" si="22"/>
        <v>0</v>
      </c>
    </row>
    <row r="150" spans="1:23" ht="18.75" x14ac:dyDescent="0.3">
      <c r="A150" s="1">
        <v>148</v>
      </c>
      <c r="B150" s="1" t="s">
        <v>567</v>
      </c>
      <c r="C150" s="12"/>
      <c r="D150" s="12"/>
      <c r="E150" s="12"/>
      <c r="F150" s="12"/>
      <c r="G150" s="12"/>
      <c r="H150" s="12">
        <v>150000</v>
      </c>
      <c r="I150" s="12"/>
      <c r="J150" s="12"/>
      <c r="K150" s="12"/>
      <c r="L150" s="12"/>
      <c r="M150" s="12"/>
      <c r="N150" s="12"/>
      <c r="O150" s="12">
        <f t="shared" si="21"/>
        <v>150000</v>
      </c>
      <c r="P150" s="2">
        <v>100000</v>
      </c>
      <c r="Q150" s="3">
        <v>50000</v>
      </c>
      <c r="R150" s="12"/>
      <c r="S150" s="26">
        <f t="shared" si="23"/>
        <v>0</v>
      </c>
      <c r="T150" s="26">
        <v>0</v>
      </c>
      <c r="U150" s="22">
        <f t="shared" si="24"/>
        <v>0</v>
      </c>
      <c r="V150" s="22"/>
      <c r="W150" s="11">
        <f t="shared" si="22"/>
        <v>1</v>
      </c>
    </row>
    <row r="151" spans="1:23" ht="18.75" x14ac:dyDescent="0.3">
      <c r="A151" s="1">
        <v>149</v>
      </c>
      <c r="B151" s="1" t="s">
        <v>512</v>
      </c>
      <c r="C151" s="12"/>
      <c r="D151" s="12"/>
      <c r="E151" s="12"/>
      <c r="F151" s="12"/>
      <c r="G151" s="12">
        <v>50000</v>
      </c>
      <c r="H151" s="12">
        <v>150000</v>
      </c>
      <c r="I151" s="12"/>
      <c r="J151" s="12"/>
      <c r="K151" s="12"/>
      <c r="L151" s="12"/>
      <c r="M151" s="12"/>
      <c r="N151" s="12"/>
      <c r="O151" s="12">
        <f t="shared" si="21"/>
        <v>200000</v>
      </c>
      <c r="P151" s="2">
        <v>100000</v>
      </c>
      <c r="Q151" s="3">
        <v>50000</v>
      </c>
      <c r="R151" s="12">
        <v>50000</v>
      </c>
      <c r="S151" s="26">
        <f t="shared" si="23"/>
        <v>50000</v>
      </c>
      <c r="T151" s="26">
        <v>0</v>
      </c>
      <c r="U151" s="22">
        <f t="shared" si="24"/>
        <v>0</v>
      </c>
      <c r="V151" s="22"/>
      <c r="W151" s="11">
        <f t="shared" si="22"/>
        <v>1</v>
      </c>
    </row>
    <row r="152" spans="1:23" ht="18.75" x14ac:dyDescent="0.3">
      <c r="A152" s="1">
        <v>150</v>
      </c>
      <c r="B152" s="1" t="s">
        <v>613</v>
      </c>
      <c r="C152" s="12"/>
      <c r="D152" s="12"/>
      <c r="E152" s="12"/>
      <c r="F152" s="12"/>
      <c r="G152" s="12"/>
      <c r="H152" s="12">
        <v>150000</v>
      </c>
      <c r="I152" s="12"/>
      <c r="J152" s="12"/>
      <c r="K152" s="12"/>
      <c r="L152" s="12"/>
      <c r="M152" s="12"/>
      <c r="N152" s="12"/>
      <c r="O152" s="12">
        <f t="shared" si="21"/>
        <v>150000</v>
      </c>
      <c r="P152" s="2">
        <v>100000</v>
      </c>
      <c r="Q152" s="3">
        <v>50000</v>
      </c>
      <c r="R152" s="12"/>
      <c r="S152" s="26">
        <f t="shared" si="23"/>
        <v>0</v>
      </c>
      <c r="T152" s="26"/>
      <c r="U152" s="22"/>
      <c r="V152" s="22"/>
      <c r="W152" s="11">
        <f t="shared" si="22"/>
        <v>1</v>
      </c>
    </row>
    <row r="153" spans="1:23" ht="18.75" x14ac:dyDescent="0.3">
      <c r="A153" s="1">
        <v>151</v>
      </c>
      <c r="B153" s="1" t="s">
        <v>490</v>
      </c>
      <c r="C153" s="12"/>
      <c r="D153" s="12"/>
      <c r="E153" s="12"/>
      <c r="F153" s="12">
        <v>150000</v>
      </c>
      <c r="G153" s="12">
        <v>50000</v>
      </c>
      <c r="H153" s="12">
        <v>50000</v>
      </c>
      <c r="I153" s="12"/>
      <c r="J153" s="12"/>
      <c r="K153" s="12"/>
      <c r="L153" s="12"/>
      <c r="M153" s="12"/>
      <c r="N153" s="12"/>
      <c r="O153" s="12">
        <f t="shared" si="21"/>
        <v>250000</v>
      </c>
      <c r="P153" s="2">
        <v>100000</v>
      </c>
      <c r="Q153" s="3">
        <v>50000</v>
      </c>
      <c r="R153" s="12">
        <f>50000+50000</f>
        <v>100000</v>
      </c>
      <c r="S153" s="26">
        <f t="shared" ref="S153:S159" si="25">R153-T153</f>
        <v>100000</v>
      </c>
      <c r="T153" s="26">
        <v>0</v>
      </c>
      <c r="U153" s="22">
        <f>O153-(P153+Q153+R153)</f>
        <v>0</v>
      </c>
      <c r="V153" s="22"/>
      <c r="W153" s="11">
        <f t="shared" si="22"/>
        <v>1</v>
      </c>
    </row>
    <row r="154" spans="1:23" ht="18.75" x14ac:dyDescent="0.3">
      <c r="A154" s="1">
        <v>152</v>
      </c>
      <c r="B154" s="1" t="s">
        <v>530</v>
      </c>
      <c r="C154" s="12"/>
      <c r="D154" s="12"/>
      <c r="E154" s="12"/>
      <c r="F154" s="12"/>
      <c r="G154" s="12">
        <v>150000</v>
      </c>
      <c r="H154" s="12"/>
      <c r="I154" s="12"/>
      <c r="J154" s="12"/>
      <c r="K154" s="12"/>
      <c r="L154" s="12"/>
      <c r="M154" s="12"/>
      <c r="N154" s="12"/>
      <c r="O154" s="12">
        <f t="shared" si="21"/>
        <v>150000</v>
      </c>
      <c r="P154" s="2">
        <v>100000</v>
      </c>
      <c r="Q154" s="3">
        <v>50000</v>
      </c>
      <c r="R154" s="12"/>
      <c r="S154" s="26">
        <f t="shared" si="25"/>
        <v>0</v>
      </c>
      <c r="T154" s="26">
        <v>0</v>
      </c>
      <c r="U154" s="22">
        <f>O154-(P154+Q154+R154)</f>
        <v>0</v>
      </c>
      <c r="V154" s="22"/>
      <c r="W154" s="11">
        <f t="shared" si="22"/>
        <v>1</v>
      </c>
    </row>
    <row r="155" spans="1:23" ht="18.75" x14ac:dyDescent="0.3">
      <c r="A155" s="1">
        <v>153</v>
      </c>
      <c r="B155" s="1" t="s">
        <v>357</v>
      </c>
      <c r="C155" s="12"/>
      <c r="D155" s="12"/>
      <c r="E155" s="12">
        <v>200000</v>
      </c>
      <c r="F155" s="12">
        <v>200000</v>
      </c>
      <c r="G155" s="12"/>
      <c r="H155" s="12"/>
      <c r="I155" s="12"/>
      <c r="J155" s="12"/>
      <c r="K155" s="12"/>
      <c r="L155" s="12"/>
      <c r="M155" s="12"/>
      <c r="N155" s="12"/>
      <c r="O155" s="12">
        <f t="shared" si="21"/>
        <v>400000</v>
      </c>
      <c r="P155" s="2">
        <f>200000+200000</f>
        <v>400000</v>
      </c>
      <c r="Q155" s="3"/>
      <c r="R155" s="12"/>
      <c r="S155" s="26">
        <f t="shared" si="25"/>
        <v>0</v>
      </c>
      <c r="T155" s="26">
        <v>0</v>
      </c>
      <c r="U155" s="22">
        <f>O155-(P155+Q155+R155)</f>
        <v>0</v>
      </c>
      <c r="V155" s="22"/>
      <c r="W155" s="11">
        <f t="shared" si="22"/>
        <v>4</v>
      </c>
    </row>
    <row r="156" spans="1:23" ht="18.75" x14ac:dyDescent="0.3">
      <c r="A156" s="1">
        <v>154</v>
      </c>
      <c r="B156" s="1" t="s">
        <v>278</v>
      </c>
      <c r="C156" s="12"/>
      <c r="D156" s="12"/>
      <c r="E156" s="12"/>
      <c r="F156" s="12"/>
      <c r="G156" s="12">
        <v>1000000</v>
      </c>
      <c r="H156" s="12"/>
      <c r="I156" s="12"/>
      <c r="J156" s="12"/>
      <c r="K156" s="12"/>
      <c r="L156" s="12"/>
      <c r="M156" s="12"/>
      <c r="N156" s="12"/>
      <c r="O156" s="12">
        <f t="shared" si="21"/>
        <v>1000000</v>
      </c>
      <c r="P156" s="2">
        <v>1000000</v>
      </c>
      <c r="Q156" s="3"/>
      <c r="R156" s="12"/>
      <c r="S156" s="26">
        <f t="shared" si="25"/>
        <v>0</v>
      </c>
      <c r="T156" s="26">
        <v>0</v>
      </c>
      <c r="U156" s="22">
        <f>O156-(P156+Q156+R156)</f>
        <v>0</v>
      </c>
      <c r="V156" s="22"/>
      <c r="W156" s="11">
        <f t="shared" si="22"/>
        <v>10</v>
      </c>
    </row>
    <row r="157" spans="1:23" ht="18.75" x14ac:dyDescent="0.3">
      <c r="A157" s="1">
        <v>155</v>
      </c>
      <c r="B157" s="1" t="s">
        <v>478</v>
      </c>
      <c r="C157" s="12"/>
      <c r="D157" s="12"/>
      <c r="E157" s="12">
        <v>150000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>
        <f t="shared" si="21"/>
        <v>150000</v>
      </c>
      <c r="P157" s="2">
        <v>100000</v>
      </c>
      <c r="Q157" s="3">
        <v>50000</v>
      </c>
      <c r="R157" s="12"/>
      <c r="S157" s="26">
        <f t="shared" si="25"/>
        <v>0</v>
      </c>
      <c r="T157" s="26">
        <v>0</v>
      </c>
      <c r="U157" s="22">
        <f>O157-(P157+Q157+R157)</f>
        <v>0</v>
      </c>
      <c r="V157" s="22"/>
      <c r="W157" s="11">
        <f t="shared" si="22"/>
        <v>1</v>
      </c>
    </row>
    <row r="158" spans="1:23" ht="18.75" x14ac:dyDescent="0.3">
      <c r="A158" s="1">
        <v>156</v>
      </c>
      <c r="B158" s="1" t="s">
        <v>595</v>
      </c>
      <c r="C158" s="12"/>
      <c r="D158" s="12"/>
      <c r="E158" s="12"/>
      <c r="F158" s="12"/>
      <c r="G158" s="12"/>
      <c r="H158" s="12">
        <v>150000</v>
      </c>
      <c r="I158" s="12"/>
      <c r="J158" s="12"/>
      <c r="K158" s="12"/>
      <c r="L158" s="12"/>
      <c r="M158" s="12"/>
      <c r="N158" s="12"/>
      <c r="O158" s="12">
        <f t="shared" si="21"/>
        <v>150000</v>
      </c>
      <c r="P158" s="2">
        <v>100000</v>
      </c>
      <c r="Q158" s="3">
        <v>50000</v>
      </c>
      <c r="R158" s="12"/>
      <c r="S158" s="26">
        <f t="shared" si="25"/>
        <v>0</v>
      </c>
      <c r="T158" s="26"/>
      <c r="U158" s="22"/>
      <c r="V158" s="22"/>
      <c r="W158" s="11">
        <f t="shared" si="22"/>
        <v>1</v>
      </c>
    </row>
    <row r="159" spans="1:23" s="202" customFormat="1" ht="18.75" x14ac:dyDescent="0.3">
      <c r="A159" s="194">
        <v>157</v>
      </c>
      <c r="B159" s="194" t="s">
        <v>618</v>
      </c>
      <c r="C159" s="195"/>
      <c r="D159" s="195"/>
      <c r="E159" s="195"/>
      <c r="F159" s="195"/>
      <c r="G159" s="195"/>
      <c r="H159" s="195">
        <v>100000</v>
      </c>
      <c r="I159" s="195">
        <v>50000</v>
      </c>
      <c r="J159" s="195"/>
      <c r="K159" s="195"/>
      <c r="L159" s="195"/>
      <c r="M159" s="195"/>
      <c r="N159" s="195"/>
      <c r="O159" s="195">
        <f t="shared" si="21"/>
        <v>150000</v>
      </c>
      <c r="P159" s="196">
        <v>100000</v>
      </c>
      <c r="Q159" s="197">
        <v>50000</v>
      </c>
      <c r="R159" s="195"/>
      <c r="S159" s="198">
        <f t="shared" si="25"/>
        <v>0</v>
      </c>
      <c r="T159" s="198"/>
      <c r="U159" s="199"/>
      <c r="V159" s="199"/>
      <c r="W159" s="200">
        <f t="shared" si="22"/>
        <v>1</v>
      </c>
    </row>
    <row r="160" spans="1:23" ht="18.75" x14ac:dyDescent="0.3">
      <c r="A160" s="1">
        <v>158</v>
      </c>
      <c r="B160" s="1" t="s">
        <v>522</v>
      </c>
      <c r="C160" s="12"/>
      <c r="D160" s="12"/>
      <c r="E160" s="12"/>
      <c r="F160" s="12"/>
      <c r="G160" s="12">
        <v>150000</v>
      </c>
      <c r="H160" s="12"/>
      <c r="I160" s="12"/>
      <c r="J160" s="12"/>
      <c r="K160" s="12"/>
      <c r="L160" s="12"/>
      <c r="M160" s="12"/>
      <c r="N160" s="12"/>
      <c r="O160" s="12">
        <f t="shared" si="21"/>
        <v>150000</v>
      </c>
      <c r="P160" s="2">
        <v>100000</v>
      </c>
      <c r="Q160" s="3">
        <v>50000</v>
      </c>
      <c r="R160" s="12"/>
      <c r="S160" s="26">
        <f t="shared" ref="S160:S172" si="26">R160-T160</f>
        <v>0</v>
      </c>
      <c r="T160" s="26">
        <v>0</v>
      </c>
      <c r="U160" s="22">
        <f t="shared" ref="U160:U172" si="27">O160-(P160+Q160+R160)</f>
        <v>0</v>
      </c>
      <c r="V160" s="22"/>
      <c r="W160" s="11">
        <f t="shared" si="22"/>
        <v>1</v>
      </c>
    </row>
    <row r="161" spans="1:23" ht="18.75" x14ac:dyDescent="0.3">
      <c r="A161" s="1">
        <v>159</v>
      </c>
      <c r="B161" s="1" t="s">
        <v>504</v>
      </c>
      <c r="C161" s="12"/>
      <c r="D161" s="12"/>
      <c r="E161" s="12"/>
      <c r="F161" s="12"/>
      <c r="G161" s="12">
        <v>500000</v>
      </c>
      <c r="H161" s="12">
        <v>150000</v>
      </c>
      <c r="I161" s="12"/>
      <c r="J161" s="12"/>
      <c r="K161" s="12"/>
      <c r="L161" s="12"/>
      <c r="M161" s="12"/>
      <c r="N161" s="12"/>
      <c r="O161" s="12">
        <f t="shared" si="21"/>
        <v>650000</v>
      </c>
      <c r="P161" s="2">
        <v>400000</v>
      </c>
      <c r="Q161" s="3">
        <v>50000</v>
      </c>
      <c r="R161" s="12">
        <f>50000+150000</f>
        <v>200000</v>
      </c>
      <c r="S161" s="26">
        <f t="shared" si="26"/>
        <v>200000</v>
      </c>
      <c r="T161" s="26">
        <v>0</v>
      </c>
      <c r="U161" s="22">
        <f t="shared" si="27"/>
        <v>0</v>
      </c>
      <c r="V161" s="22"/>
      <c r="W161" s="11">
        <f t="shared" si="22"/>
        <v>4</v>
      </c>
    </row>
    <row r="162" spans="1:23" ht="18.75" x14ac:dyDescent="0.3">
      <c r="A162" s="1">
        <v>160</v>
      </c>
      <c r="B162" s="1" t="s">
        <v>290</v>
      </c>
      <c r="C162" s="12"/>
      <c r="D162" s="12"/>
      <c r="E162" s="12"/>
      <c r="F162" s="12">
        <v>100000</v>
      </c>
      <c r="G162" s="12"/>
      <c r="H162" s="12"/>
      <c r="I162" s="12"/>
      <c r="J162" s="12"/>
      <c r="K162" s="12"/>
      <c r="L162" s="12"/>
      <c r="M162" s="12"/>
      <c r="N162" s="12"/>
      <c r="O162" s="12">
        <f t="shared" si="21"/>
        <v>100000</v>
      </c>
      <c r="P162" s="2">
        <v>100000</v>
      </c>
      <c r="Q162" s="3"/>
      <c r="R162" s="12"/>
      <c r="S162" s="26">
        <f t="shared" si="26"/>
        <v>0</v>
      </c>
      <c r="T162" s="26">
        <v>0</v>
      </c>
      <c r="U162" s="22">
        <f t="shared" si="27"/>
        <v>0</v>
      </c>
      <c r="V162" s="22"/>
      <c r="W162" s="11">
        <f t="shared" si="22"/>
        <v>1</v>
      </c>
    </row>
    <row r="163" spans="1:23" ht="18.75" x14ac:dyDescent="0.3">
      <c r="A163" s="1">
        <v>161</v>
      </c>
      <c r="B163" s="1" t="s">
        <v>487</v>
      </c>
      <c r="C163" s="12"/>
      <c r="D163" s="12"/>
      <c r="E163" s="12"/>
      <c r="F163" s="12">
        <v>150000</v>
      </c>
      <c r="G163" s="12">
        <v>100000</v>
      </c>
      <c r="H163" s="12">
        <v>100000</v>
      </c>
      <c r="I163" s="12"/>
      <c r="J163" s="12"/>
      <c r="K163" s="12"/>
      <c r="L163" s="12"/>
      <c r="M163" s="12"/>
      <c r="N163" s="12"/>
      <c r="O163" s="12">
        <f t="shared" ref="O163:O182" si="28">SUM(C163:N163)</f>
        <v>350000</v>
      </c>
      <c r="P163" s="2">
        <f>100000+100000+100000</f>
        <v>300000</v>
      </c>
      <c r="Q163" s="3">
        <v>50000</v>
      </c>
      <c r="R163" s="12"/>
      <c r="S163" s="26">
        <f t="shared" si="26"/>
        <v>0</v>
      </c>
      <c r="T163" s="26">
        <v>0</v>
      </c>
      <c r="U163" s="22">
        <f t="shared" si="27"/>
        <v>0</v>
      </c>
      <c r="V163" s="22"/>
      <c r="W163" s="11">
        <f t="shared" si="22"/>
        <v>3</v>
      </c>
    </row>
    <row r="164" spans="1:23" ht="18.75" x14ac:dyDescent="0.3">
      <c r="A164" s="1">
        <v>162</v>
      </c>
      <c r="B164" s="1" t="s">
        <v>506</v>
      </c>
      <c r="C164" s="12"/>
      <c r="D164" s="12"/>
      <c r="E164" s="12"/>
      <c r="F164" s="12"/>
      <c r="G164" s="12">
        <f>350000+200000</f>
        <v>550000</v>
      </c>
      <c r="H164" s="12"/>
      <c r="I164" s="12"/>
      <c r="J164" s="12"/>
      <c r="K164" s="12"/>
      <c r="L164" s="12"/>
      <c r="M164" s="12"/>
      <c r="N164" s="12"/>
      <c r="O164" s="12">
        <f t="shared" si="28"/>
        <v>550000</v>
      </c>
      <c r="P164" s="2">
        <v>300000</v>
      </c>
      <c r="Q164" s="3">
        <v>50000</v>
      </c>
      <c r="R164" s="12">
        <v>200000</v>
      </c>
      <c r="S164" s="26">
        <f t="shared" si="26"/>
        <v>200000</v>
      </c>
      <c r="T164" s="26">
        <v>0</v>
      </c>
      <c r="U164" s="22">
        <f t="shared" si="27"/>
        <v>0</v>
      </c>
      <c r="V164" s="22"/>
      <c r="W164" s="11">
        <f t="shared" si="22"/>
        <v>3</v>
      </c>
    </row>
    <row r="165" spans="1:23" ht="18.75" x14ac:dyDescent="0.3">
      <c r="A165" s="1">
        <v>163</v>
      </c>
      <c r="B165" s="1" t="s">
        <v>477</v>
      </c>
      <c r="C165" s="12"/>
      <c r="D165" s="12"/>
      <c r="E165" s="12">
        <v>1050000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>
        <f t="shared" si="28"/>
        <v>1050000</v>
      </c>
      <c r="P165" s="2">
        <v>1000000</v>
      </c>
      <c r="Q165" s="3">
        <v>50000</v>
      </c>
      <c r="R165" s="12"/>
      <c r="S165" s="26">
        <f t="shared" si="26"/>
        <v>0</v>
      </c>
      <c r="T165" s="26">
        <v>0</v>
      </c>
      <c r="U165" s="22">
        <f t="shared" si="27"/>
        <v>0</v>
      </c>
      <c r="V165" s="22"/>
      <c r="W165" s="11">
        <f t="shared" si="22"/>
        <v>10</v>
      </c>
    </row>
    <row r="166" spans="1:23" s="165" customFormat="1" ht="18.75" x14ac:dyDescent="0.3">
      <c r="A166" s="156">
        <v>164</v>
      </c>
      <c r="B166" s="156" t="s">
        <v>563</v>
      </c>
      <c r="C166" s="157"/>
      <c r="D166" s="157"/>
      <c r="E166" s="157"/>
      <c r="F166" s="157"/>
      <c r="G166" s="157"/>
      <c r="H166" s="157">
        <v>300000</v>
      </c>
      <c r="I166" s="157">
        <v>105000</v>
      </c>
      <c r="J166" s="157"/>
      <c r="K166" s="157"/>
      <c r="L166" s="157"/>
      <c r="M166" s="157"/>
      <c r="N166" s="157"/>
      <c r="O166" s="157">
        <f>SUM(C166:N166)</f>
        <v>405000</v>
      </c>
      <c r="P166" s="158">
        <v>200000</v>
      </c>
      <c r="Q166" s="159">
        <v>50000</v>
      </c>
      <c r="R166" s="157">
        <f>50000+105000</f>
        <v>155000</v>
      </c>
      <c r="S166" s="160">
        <f t="shared" si="26"/>
        <v>155000</v>
      </c>
      <c r="T166" s="160">
        <v>0</v>
      </c>
      <c r="U166" s="161">
        <f t="shared" si="27"/>
        <v>0</v>
      </c>
      <c r="V166" s="161"/>
      <c r="W166" s="162">
        <f t="shared" si="22"/>
        <v>2</v>
      </c>
    </row>
    <row r="167" spans="1:23" ht="18.75" x14ac:dyDescent="0.3">
      <c r="A167" s="1">
        <v>165</v>
      </c>
      <c r="B167" s="1" t="s">
        <v>591</v>
      </c>
      <c r="C167" s="12"/>
      <c r="D167" s="12"/>
      <c r="E167" s="12"/>
      <c r="F167" s="12"/>
      <c r="G167" s="12"/>
      <c r="H167" s="12">
        <f>500000+170000</f>
        <v>670000</v>
      </c>
      <c r="I167" s="12"/>
      <c r="J167" s="12"/>
      <c r="K167" s="12"/>
      <c r="L167" s="12"/>
      <c r="M167" s="12"/>
      <c r="N167" s="12"/>
      <c r="O167" s="12">
        <f t="shared" si="28"/>
        <v>670000</v>
      </c>
      <c r="P167" s="2">
        <f>400000+100000</f>
        <v>500000</v>
      </c>
      <c r="Q167" s="3">
        <v>50000</v>
      </c>
      <c r="R167" s="12">
        <f>50000+70000</f>
        <v>120000</v>
      </c>
      <c r="S167" s="26">
        <f t="shared" si="26"/>
        <v>120000</v>
      </c>
      <c r="T167" s="26"/>
      <c r="U167" s="22">
        <f t="shared" si="27"/>
        <v>0</v>
      </c>
      <c r="V167" s="22"/>
      <c r="W167" s="11">
        <f t="shared" si="22"/>
        <v>5</v>
      </c>
    </row>
    <row r="168" spans="1:23" ht="18.75" x14ac:dyDescent="0.3">
      <c r="A168" s="1">
        <v>166</v>
      </c>
      <c r="B168" s="1" t="s">
        <v>548</v>
      </c>
      <c r="C168" s="12"/>
      <c r="D168" s="12"/>
      <c r="E168" s="12"/>
      <c r="F168" s="12"/>
      <c r="G168" s="12">
        <v>1100000</v>
      </c>
      <c r="H168" s="12">
        <f>300000+100000</f>
        <v>400000</v>
      </c>
      <c r="I168" s="12"/>
      <c r="J168" s="12"/>
      <c r="K168" s="12"/>
      <c r="L168" s="12"/>
      <c r="M168" s="12"/>
      <c r="N168" s="12"/>
      <c r="O168" s="12">
        <f t="shared" si="28"/>
        <v>1500000</v>
      </c>
      <c r="P168" s="2">
        <f>1000000+200000+100000</f>
        <v>1300000</v>
      </c>
      <c r="Q168" s="3">
        <v>50000</v>
      </c>
      <c r="R168" s="12">
        <f>50000+100000</f>
        <v>150000</v>
      </c>
      <c r="S168" s="26">
        <f t="shared" si="26"/>
        <v>150000</v>
      </c>
      <c r="T168" s="26">
        <v>0</v>
      </c>
      <c r="U168" s="22">
        <f t="shared" si="27"/>
        <v>0</v>
      </c>
      <c r="V168" s="22"/>
      <c r="W168" s="11">
        <f t="shared" si="22"/>
        <v>13</v>
      </c>
    </row>
    <row r="169" spans="1:23" ht="18.75" x14ac:dyDescent="0.3">
      <c r="A169" s="1">
        <v>167</v>
      </c>
      <c r="B169" s="1" t="s">
        <v>300</v>
      </c>
      <c r="C169" s="12"/>
      <c r="D169" s="12"/>
      <c r="E169" s="12"/>
      <c r="F169" s="12"/>
      <c r="G169" s="12">
        <v>300000</v>
      </c>
      <c r="H169" s="12"/>
      <c r="I169" s="12"/>
      <c r="J169" s="12"/>
      <c r="K169" s="12"/>
      <c r="L169" s="12"/>
      <c r="M169" s="12"/>
      <c r="N169" s="12"/>
      <c r="O169" s="12">
        <f t="shared" si="28"/>
        <v>300000</v>
      </c>
      <c r="P169" s="2">
        <v>300000</v>
      </c>
      <c r="Q169" s="3"/>
      <c r="R169" s="12"/>
      <c r="S169" s="26">
        <f t="shared" si="26"/>
        <v>0</v>
      </c>
      <c r="T169" s="26">
        <v>0</v>
      </c>
      <c r="U169" s="22">
        <f t="shared" si="27"/>
        <v>0</v>
      </c>
      <c r="V169" s="22"/>
      <c r="W169" s="11">
        <f t="shared" si="22"/>
        <v>3</v>
      </c>
    </row>
    <row r="170" spans="1:23" s="165" customFormat="1" ht="18.75" x14ac:dyDescent="0.3">
      <c r="A170" s="156">
        <v>168</v>
      </c>
      <c r="B170" s="156" t="s">
        <v>510</v>
      </c>
      <c r="C170" s="157"/>
      <c r="D170" s="157"/>
      <c r="E170" s="157"/>
      <c r="F170" s="157"/>
      <c r="G170" s="157">
        <v>600000</v>
      </c>
      <c r="H170" s="157"/>
      <c r="I170" s="157">
        <v>100000</v>
      </c>
      <c r="J170" s="157"/>
      <c r="K170" s="157"/>
      <c r="L170" s="157"/>
      <c r="M170" s="157"/>
      <c r="N170" s="157"/>
      <c r="O170" s="157">
        <f t="shared" si="28"/>
        <v>700000</v>
      </c>
      <c r="P170" s="158">
        <v>500000</v>
      </c>
      <c r="Q170" s="159">
        <v>50000</v>
      </c>
      <c r="R170" s="157">
        <f>50000+100000</f>
        <v>150000</v>
      </c>
      <c r="S170" s="160">
        <f t="shared" si="26"/>
        <v>150000</v>
      </c>
      <c r="T170" s="160">
        <v>0</v>
      </c>
      <c r="U170" s="161">
        <f t="shared" si="27"/>
        <v>0</v>
      </c>
      <c r="V170" s="161"/>
      <c r="W170" s="162">
        <f t="shared" si="22"/>
        <v>5</v>
      </c>
    </row>
    <row r="171" spans="1:23" ht="18.75" x14ac:dyDescent="0.3">
      <c r="A171" s="1">
        <v>169</v>
      </c>
      <c r="B171" s="1" t="s">
        <v>513</v>
      </c>
      <c r="C171" s="12"/>
      <c r="D171" s="12"/>
      <c r="E171" s="12"/>
      <c r="F171" s="12"/>
      <c r="G171" s="12">
        <v>50000</v>
      </c>
      <c r="H171" s="12"/>
      <c r="I171" s="12"/>
      <c r="J171" s="12"/>
      <c r="K171" s="12"/>
      <c r="L171" s="12"/>
      <c r="M171" s="12"/>
      <c r="N171" s="12"/>
      <c r="O171" s="12">
        <f t="shared" si="28"/>
        <v>50000</v>
      </c>
      <c r="P171" s="2"/>
      <c r="Q171" s="3">
        <v>50000</v>
      </c>
      <c r="R171" s="12"/>
      <c r="S171" s="26">
        <f t="shared" si="26"/>
        <v>0</v>
      </c>
      <c r="T171" s="26">
        <v>0</v>
      </c>
      <c r="U171" s="22">
        <f t="shared" si="27"/>
        <v>0</v>
      </c>
      <c r="V171" s="22"/>
      <c r="W171" s="11">
        <f t="shared" si="22"/>
        <v>0</v>
      </c>
    </row>
    <row r="172" spans="1:23" ht="18.75" x14ac:dyDescent="0.3">
      <c r="A172" s="1">
        <v>170</v>
      </c>
      <c r="B172" s="1" t="s">
        <v>565</v>
      </c>
      <c r="C172" s="12"/>
      <c r="D172" s="12"/>
      <c r="E172" s="12"/>
      <c r="F172" s="12"/>
      <c r="G172" s="12"/>
      <c r="H172" s="12">
        <v>150000</v>
      </c>
      <c r="I172" s="12"/>
      <c r="J172" s="12"/>
      <c r="K172" s="12"/>
      <c r="L172" s="12"/>
      <c r="M172" s="12"/>
      <c r="N172" s="12"/>
      <c r="O172" s="12">
        <f t="shared" si="28"/>
        <v>150000</v>
      </c>
      <c r="P172" s="2">
        <v>100000</v>
      </c>
      <c r="Q172" s="3">
        <v>50000</v>
      </c>
      <c r="R172" s="12"/>
      <c r="S172" s="26">
        <f t="shared" si="26"/>
        <v>0</v>
      </c>
      <c r="T172" s="26">
        <v>0</v>
      </c>
      <c r="U172" s="22">
        <f t="shared" si="27"/>
        <v>0</v>
      </c>
      <c r="V172" s="22"/>
      <c r="W172" s="11">
        <f t="shared" si="22"/>
        <v>1</v>
      </c>
    </row>
    <row r="173" spans="1:23" ht="18.75" x14ac:dyDescent="0.3">
      <c r="A173" s="1">
        <v>171</v>
      </c>
      <c r="B173" s="1" t="s">
        <v>625</v>
      </c>
      <c r="C173" s="12"/>
      <c r="D173" s="12"/>
      <c r="E173" s="12"/>
      <c r="F173" s="12"/>
      <c r="G173" s="12"/>
      <c r="H173" s="12">
        <v>250000</v>
      </c>
      <c r="I173" s="12"/>
      <c r="J173" s="12"/>
      <c r="K173" s="12"/>
      <c r="L173" s="12"/>
      <c r="M173" s="12"/>
      <c r="N173" s="12"/>
      <c r="O173" s="12">
        <f t="shared" si="28"/>
        <v>250000</v>
      </c>
      <c r="P173" s="2">
        <v>200000</v>
      </c>
      <c r="Q173" s="3">
        <v>50000</v>
      </c>
      <c r="R173" s="12"/>
      <c r="S173" s="26"/>
      <c r="T173" s="26"/>
      <c r="U173" s="22"/>
      <c r="V173" s="22"/>
      <c r="W173" s="11">
        <f t="shared" si="22"/>
        <v>2</v>
      </c>
    </row>
    <row r="174" spans="1:23" ht="18.75" x14ac:dyDescent="0.3">
      <c r="A174" s="1">
        <v>172</v>
      </c>
      <c r="B174" s="1" t="s">
        <v>432</v>
      </c>
      <c r="C174" s="12"/>
      <c r="D174" s="12">
        <v>250000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>
        <f t="shared" si="28"/>
        <v>250000</v>
      </c>
      <c r="P174" s="2">
        <v>200000</v>
      </c>
      <c r="Q174" s="3">
        <v>50000</v>
      </c>
      <c r="R174" s="12"/>
      <c r="S174" s="26">
        <f>R174-T174</f>
        <v>0</v>
      </c>
      <c r="T174" s="26">
        <v>0</v>
      </c>
      <c r="U174" s="22">
        <f>O174-(P174+Q174+R174)</f>
        <v>0</v>
      </c>
      <c r="V174" s="22"/>
      <c r="W174" s="11">
        <f t="shared" si="22"/>
        <v>2</v>
      </c>
    </row>
    <row r="175" spans="1:23" ht="18.75" x14ac:dyDescent="0.3">
      <c r="A175" s="1">
        <v>173</v>
      </c>
      <c r="B175" s="1" t="s">
        <v>546</v>
      </c>
      <c r="C175" s="12"/>
      <c r="D175" s="12"/>
      <c r="E175" s="12"/>
      <c r="F175" s="12"/>
      <c r="G175" s="12">
        <v>150000</v>
      </c>
      <c r="H175" s="12"/>
      <c r="I175" s="12"/>
      <c r="J175" s="12"/>
      <c r="K175" s="12"/>
      <c r="L175" s="12"/>
      <c r="M175" s="12"/>
      <c r="N175" s="12"/>
      <c r="O175" s="12">
        <f t="shared" si="28"/>
        <v>150000</v>
      </c>
      <c r="P175" s="2">
        <v>100000</v>
      </c>
      <c r="Q175" s="3">
        <v>50000</v>
      </c>
      <c r="R175" s="12"/>
      <c r="S175" s="26">
        <f>R175-T175</f>
        <v>0</v>
      </c>
      <c r="T175" s="26">
        <v>0</v>
      </c>
      <c r="U175" s="22">
        <f>O175-(P175+Q175+R175)</f>
        <v>0</v>
      </c>
      <c r="V175" s="22"/>
      <c r="W175" s="11">
        <f t="shared" si="22"/>
        <v>1</v>
      </c>
    </row>
    <row r="176" spans="1:23" ht="18.75" x14ac:dyDescent="0.3">
      <c r="A176" s="1">
        <v>174</v>
      </c>
      <c r="B176" s="1" t="s">
        <v>610</v>
      </c>
      <c r="C176" s="12"/>
      <c r="D176" s="12"/>
      <c r="E176" s="12"/>
      <c r="F176" s="12"/>
      <c r="G176" s="12"/>
      <c r="H176" s="12">
        <v>150000</v>
      </c>
      <c r="I176" s="12"/>
      <c r="J176" s="12"/>
      <c r="K176" s="12"/>
      <c r="L176" s="12"/>
      <c r="M176" s="12"/>
      <c r="N176" s="12"/>
      <c r="O176" s="12">
        <f t="shared" si="28"/>
        <v>150000</v>
      </c>
      <c r="P176" s="2">
        <v>100000</v>
      </c>
      <c r="Q176" s="3">
        <v>50000</v>
      </c>
      <c r="R176" s="12"/>
      <c r="S176" s="26"/>
      <c r="T176" s="26"/>
      <c r="U176" s="22"/>
      <c r="V176" s="22"/>
      <c r="W176" s="11">
        <f t="shared" si="22"/>
        <v>1</v>
      </c>
    </row>
    <row r="177" spans="1:23" ht="18.75" x14ac:dyDescent="0.3">
      <c r="A177" s="1">
        <v>175</v>
      </c>
      <c r="B177" s="1" t="s">
        <v>493</v>
      </c>
      <c r="C177" s="12"/>
      <c r="D177" s="12"/>
      <c r="E177" s="12"/>
      <c r="F177" s="12">
        <f>600000+50000</f>
        <v>650000</v>
      </c>
      <c r="G177" s="12"/>
      <c r="H177" s="12"/>
      <c r="I177" s="12"/>
      <c r="J177" s="12"/>
      <c r="K177" s="12"/>
      <c r="L177" s="12"/>
      <c r="M177" s="12"/>
      <c r="N177" s="12"/>
      <c r="O177" s="12">
        <f t="shared" si="28"/>
        <v>650000</v>
      </c>
      <c r="P177" s="2">
        <v>600000</v>
      </c>
      <c r="Q177" s="3">
        <v>50000</v>
      </c>
      <c r="R177" s="12"/>
      <c r="S177" s="26">
        <f>R177-T177</f>
        <v>0</v>
      </c>
      <c r="T177" s="26">
        <v>0</v>
      </c>
      <c r="U177" s="22">
        <f t="shared" ref="U177:U182" si="29">O177-(P177+Q177+R177)</f>
        <v>0</v>
      </c>
      <c r="V177" s="22"/>
      <c r="W177" s="11">
        <f t="shared" si="22"/>
        <v>6</v>
      </c>
    </row>
    <row r="178" spans="1:23" s="114" customFormat="1" ht="18.75" x14ac:dyDescent="0.3">
      <c r="A178" s="1">
        <v>176</v>
      </c>
      <c r="B178" s="1" t="s">
        <v>438</v>
      </c>
      <c r="C178" s="12"/>
      <c r="D178" s="12"/>
      <c r="E178" s="12">
        <v>150000</v>
      </c>
      <c r="F178" s="12"/>
      <c r="G178" s="12">
        <v>200000</v>
      </c>
      <c r="H178" s="12"/>
      <c r="I178" s="12"/>
      <c r="J178" s="12"/>
      <c r="K178" s="12"/>
      <c r="L178" s="12"/>
      <c r="M178" s="12"/>
      <c r="N178" s="12"/>
      <c r="O178" s="12">
        <f t="shared" si="28"/>
        <v>350000</v>
      </c>
      <c r="P178" s="2">
        <f>100000+200000</f>
        <v>300000</v>
      </c>
      <c r="Q178" s="3">
        <v>50000</v>
      </c>
      <c r="R178" s="12"/>
      <c r="S178" s="26">
        <f>R178-T178</f>
        <v>0</v>
      </c>
      <c r="T178" s="26">
        <v>0</v>
      </c>
      <c r="U178" s="22">
        <f t="shared" si="29"/>
        <v>0</v>
      </c>
      <c r="V178" s="22"/>
      <c r="W178" s="11">
        <f t="shared" si="22"/>
        <v>3</v>
      </c>
    </row>
    <row r="179" spans="1:23" s="114" customFormat="1" ht="18.75" x14ac:dyDescent="0.3">
      <c r="A179" s="1">
        <v>177</v>
      </c>
      <c r="B179" s="1" t="s">
        <v>485</v>
      </c>
      <c r="C179" s="12"/>
      <c r="D179" s="12"/>
      <c r="E179" s="12"/>
      <c r="F179" s="12">
        <v>300000</v>
      </c>
      <c r="G179" s="12">
        <f>300000+500000</f>
        <v>800000</v>
      </c>
      <c r="H179" s="12"/>
      <c r="I179" s="12"/>
      <c r="J179" s="12"/>
      <c r="K179" s="12"/>
      <c r="L179" s="12"/>
      <c r="M179" s="12"/>
      <c r="N179" s="12"/>
      <c r="O179" s="12">
        <f t="shared" si="28"/>
        <v>1100000</v>
      </c>
      <c r="P179" s="2">
        <f>200000+300000+500000</f>
        <v>1000000</v>
      </c>
      <c r="Q179" s="3">
        <v>50000</v>
      </c>
      <c r="R179" s="12">
        <v>50000</v>
      </c>
      <c r="S179" s="26">
        <f>R179-T179</f>
        <v>50000</v>
      </c>
      <c r="T179" s="26">
        <v>0</v>
      </c>
      <c r="U179" s="22">
        <f t="shared" si="29"/>
        <v>0</v>
      </c>
      <c r="V179" s="22"/>
      <c r="W179" s="11">
        <f t="shared" si="22"/>
        <v>10</v>
      </c>
    </row>
    <row r="180" spans="1:23" ht="18.75" x14ac:dyDescent="0.3">
      <c r="A180" s="1">
        <v>178</v>
      </c>
      <c r="B180" s="1" t="s">
        <v>629</v>
      </c>
      <c r="C180" s="12"/>
      <c r="D180" s="12"/>
      <c r="E180" s="12"/>
      <c r="F180" s="12"/>
      <c r="G180" s="12">
        <v>550000</v>
      </c>
      <c r="H180" s="12"/>
      <c r="I180" s="12"/>
      <c r="J180" s="12"/>
      <c r="K180" s="12"/>
      <c r="L180" s="12"/>
      <c r="M180" s="12"/>
      <c r="N180" s="12"/>
      <c r="O180" s="12">
        <f t="shared" si="28"/>
        <v>550000</v>
      </c>
      <c r="P180" s="2">
        <v>500000</v>
      </c>
      <c r="Q180" s="3">
        <v>50000</v>
      </c>
      <c r="R180" s="12"/>
      <c r="S180" s="26">
        <f t="shared" ref="S180:S192" si="30">R180-T180</f>
        <v>0</v>
      </c>
      <c r="T180" s="26">
        <v>0</v>
      </c>
      <c r="U180" s="22">
        <f t="shared" si="29"/>
        <v>0</v>
      </c>
      <c r="V180" s="22"/>
      <c r="W180" s="11">
        <f t="shared" si="22"/>
        <v>5</v>
      </c>
    </row>
    <row r="181" spans="1:23" ht="18.75" x14ac:dyDescent="0.3">
      <c r="A181" s="1">
        <v>179</v>
      </c>
      <c r="B181" s="1" t="s">
        <v>627</v>
      </c>
      <c r="C181" s="12"/>
      <c r="D181" s="12"/>
      <c r="E181" s="12"/>
      <c r="F181" s="12"/>
      <c r="G181" s="12"/>
      <c r="H181" s="12">
        <v>150000</v>
      </c>
      <c r="I181" s="12"/>
      <c r="J181" s="12"/>
      <c r="K181" s="12"/>
      <c r="L181" s="12"/>
      <c r="M181" s="12"/>
      <c r="N181" s="12"/>
      <c r="O181" s="12">
        <f t="shared" si="28"/>
        <v>150000</v>
      </c>
      <c r="P181" s="2">
        <v>100000</v>
      </c>
      <c r="Q181" s="3">
        <v>50000</v>
      </c>
      <c r="R181" s="12"/>
      <c r="S181" s="26">
        <f t="shared" si="30"/>
        <v>0</v>
      </c>
      <c r="T181" s="26"/>
      <c r="U181" s="22">
        <f t="shared" si="29"/>
        <v>0</v>
      </c>
      <c r="V181" s="22"/>
      <c r="W181" s="11">
        <f t="shared" si="22"/>
        <v>1</v>
      </c>
    </row>
    <row r="182" spans="1:23" ht="18.75" x14ac:dyDescent="0.3">
      <c r="A182" s="1">
        <v>180</v>
      </c>
      <c r="B182" s="1" t="s">
        <v>628</v>
      </c>
      <c r="C182" s="12"/>
      <c r="D182" s="12"/>
      <c r="E182" s="12"/>
      <c r="F182" s="12"/>
      <c r="G182" s="12"/>
      <c r="H182" s="12">
        <v>550000</v>
      </c>
      <c r="I182" s="12"/>
      <c r="J182" s="12"/>
      <c r="K182" s="12"/>
      <c r="L182" s="12"/>
      <c r="M182" s="12"/>
      <c r="N182" s="12"/>
      <c r="O182" s="12">
        <f t="shared" si="28"/>
        <v>550000</v>
      </c>
      <c r="P182" s="2">
        <v>400000</v>
      </c>
      <c r="Q182" s="3">
        <v>50000</v>
      </c>
      <c r="R182" s="12">
        <v>100000</v>
      </c>
      <c r="S182" s="26">
        <f t="shared" si="30"/>
        <v>100000</v>
      </c>
      <c r="T182" s="26"/>
      <c r="U182" s="22">
        <f t="shared" si="29"/>
        <v>0</v>
      </c>
      <c r="V182" s="22"/>
      <c r="W182" s="11">
        <f t="shared" si="22"/>
        <v>4</v>
      </c>
    </row>
    <row r="183" spans="1:23" ht="18.75" x14ac:dyDescent="0.3">
      <c r="A183" s="1">
        <v>181</v>
      </c>
      <c r="B183" s="1" t="s">
        <v>630</v>
      </c>
      <c r="C183" s="12"/>
      <c r="D183" s="12"/>
      <c r="E183" s="12"/>
      <c r="F183" s="12"/>
      <c r="G183" s="12"/>
      <c r="H183" s="12">
        <v>150000</v>
      </c>
      <c r="I183" s="12"/>
      <c r="J183" s="12"/>
      <c r="K183" s="12"/>
      <c r="L183" s="12"/>
      <c r="M183" s="12"/>
      <c r="N183" s="12"/>
      <c r="O183" s="12">
        <f t="shared" ref="O183:O193" si="31">SUM(C183:N183)</f>
        <v>150000</v>
      </c>
      <c r="P183" s="2">
        <v>100000</v>
      </c>
      <c r="Q183" s="3">
        <v>50000</v>
      </c>
      <c r="R183" s="12"/>
      <c r="S183" s="26">
        <f t="shared" si="30"/>
        <v>0</v>
      </c>
      <c r="T183" s="26"/>
      <c r="U183" s="22"/>
      <c r="V183" s="22"/>
      <c r="W183" s="11">
        <f t="shared" si="22"/>
        <v>1</v>
      </c>
    </row>
    <row r="184" spans="1:23" ht="18.75" x14ac:dyDescent="0.3">
      <c r="A184" s="1">
        <v>182</v>
      </c>
      <c r="B184" s="1" t="s">
        <v>631</v>
      </c>
      <c r="C184" s="12"/>
      <c r="D184" s="12"/>
      <c r="E184" s="12"/>
      <c r="F184" s="12"/>
      <c r="G184" s="12"/>
      <c r="H184" s="12">
        <v>150000</v>
      </c>
      <c r="I184" s="12"/>
      <c r="J184" s="12"/>
      <c r="K184" s="12"/>
      <c r="L184" s="12"/>
      <c r="M184" s="12"/>
      <c r="N184" s="12"/>
      <c r="O184" s="12">
        <f t="shared" si="31"/>
        <v>150000</v>
      </c>
      <c r="P184" s="2">
        <v>100000</v>
      </c>
      <c r="Q184" s="3">
        <v>50000</v>
      </c>
      <c r="R184" s="12"/>
      <c r="S184" s="26">
        <f t="shared" si="30"/>
        <v>0</v>
      </c>
      <c r="T184" s="26"/>
      <c r="U184" s="22"/>
      <c r="V184" s="22"/>
      <c r="W184" s="11"/>
    </row>
    <row r="185" spans="1:23" ht="18.75" x14ac:dyDescent="0.3">
      <c r="A185" s="1">
        <v>183</v>
      </c>
      <c r="B185" s="1" t="s">
        <v>633</v>
      </c>
      <c r="C185" s="12"/>
      <c r="D185" s="12"/>
      <c r="E185" s="12"/>
      <c r="F185" s="12"/>
      <c r="G185" s="12"/>
      <c r="H185" s="12">
        <v>1050000</v>
      </c>
      <c r="I185" s="12"/>
      <c r="J185" s="12"/>
      <c r="K185" s="12"/>
      <c r="L185" s="12"/>
      <c r="M185" s="12"/>
      <c r="N185" s="12"/>
      <c r="O185" s="12">
        <f t="shared" si="31"/>
        <v>1050000</v>
      </c>
      <c r="P185" s="2">
        <v>1000000</v>
      </c>
      <c r="Q185" s="3">
        <v>50000</v>
      </c>
      <c r="R185" s="12"/>
      <c r="S185" s="26">
        <f t="shared" si="30"/>
        <v>0</v>
      </c>
      <c r="T185" s="26"/>
      <c r="U185" s="22"/>
      <c r="V185" s="22"/>
      <c r="W185" s="11"/>
    </row>
    <row r="186" spans="1:23" ht="18.75" x14ac:dyDescent="0.3">
      <c r="A186" s="1">
        <v>184</v>
      </c>
      <c r="B186" s="1" t="s">
        <v>634</v>
      </c>
      <c r="C186" s="12"/>
      <c r="D186" s="12"/>
      <c r="E186" s="12"/>
      <c r="F186" s="12"/>
      <c r="G186" s="12"/>
      <c r="H186" s="12">
        <v>150000</v>
      </c>
      <c r="I186" s="12"/>
      <c r="J186" s="12"/>
      <c r="K186" s="12"/>
      <c r="L186" s="12"/>
      <c r="M186" s="12"/>
      <c r="N186" s="12"/>
      <c r="O186" s="12">
        <f t="shared" si="31"/>
        <v>150000</v>
      </c>
      <c r="P186" s="2">
        <v>100000</v>
      </c>
      <c r="Q186" s="3">
        <v>50000</v>
      </c>
      <c r="R186" s="12"/>
      <c r="S186" s="26">
        <f t="shared" si="30"/>
        <v>0</v>
      </c>
      <c r="T186" s="26"/>
      <c r="U186" s="22"/>
      <c r="V186" s="22"/>
      <c r="W186" s="11"/>
    </row>
    <row r="187" spans="1:23" ht="18.75" x14ac:dyDescent="0.3">
      <c r="A187" s="1">
        <v>185</v>
      </c>
      <c r="B187" s="1" t="s">
        <v>635</v>
      </c>
      <c r="C187" s="12"/>
      <c r="D187" s="12"/>
      <c r="E187" s="12"/>
      <c r="F187" s="12"/>
      <c r="G187" s="12"/>
      <c r="H187" s="12">
        <v>550000</v>
      </c>
      <c r="I187" s="12"/>
      <c r="J187" s="12"/>
      <c r="K187" s="12"/>
      <c r="L187" s="12"/>
      <c r="M187" s="12"/>
      <c r="N187" s="12"/>
      <c r="O187" s="12">
        <f t="shared" si="31"/>
        <v>550000</v>
      </c>
      <c r="P187" s="2">
        <v>500000</v>
      </c>
      <c r="Q187" s="3">
        <v>50000</v>
      </c>
      <c r="R187" s="12"/>
      <c r="S187" s="26">
        <f t="shared" si="30"/>
        <v>0</v>
      </c>
      <c r="T187" s="26"/>
      <c r="U187" s="22"/>
      <c r="V187" s="22"/>
      <c r="W187" s="11"/>
    </row>
    <row r="188" spans="1:23" ht="18.75" x14ac:dyDescent="0.3">
      <c r="A188" s="1">
        <v>186</v>
      </c>
      <c r="B188" s="1" t="s">
        <v>636</v>
      </c>
      <c r="C188" s="12"/>
      <c r="D188" s="12"/>
      <c r="E188" s="12"/>
      <c r="F188" s="12"/>
      <c r="G188" s="12"/>
      <c r="H188" s="12">
        <v>150000</v>
      </c>
      <c r="I188" s="12"/>
      <c r="J188" s="12"/>
      <c r="K188" s="12"/>
      <c r="L188" s="12"/>
      <c r="M188" s="12"/>
      <c r="N188" s="12"/>
      <c r="O188" s="12">
        <f t="shared" si="31"/>
        <v>150000</v>
      </c>
      <c r="P188" s="2">
        <v>100000</v>
      </c>
      <c r="Q188" s="3">
        <v>50000</v>
      </c>
      <c r="R188" s="12"/>
      <c r="S188" s="26">
        <f t="shared" si="30"/>
        <v>0</v>
      </c>
      <c r="T188" s="26"/>
      <c r="U188" s="22"/>
      <c r="V188" s="22"/>
      <c r="W188" s="11"/>
    </row>
    <row r="189" spans="1:23" s="202" customFormat="1" ht="18.75" x14ac:dyDescent="0.3">
      <c r="A189" s="194">
        <v>187</v>
      </c>
      <c r="B189" s="194" t="s">
        <v>641</v>
      </c>
      <c r="C189" s="195"/>
      <c r="D189" s="195"/>
      <c r="E189" s="195"/>
      <c r="F189" s="195"/>
      <c r="G189" s="195"/>
      <c r="H189" s="195"/>
      <c r="I189" s="195">
        <f>100000+50000</f>
        <v>150000</v>
      </c>
      <c r="J189" s="195"/>
      <c r="K189" s="195"/>
      <c r="L189" s="195"/>
      <c r="M189" s="195"/>
      <c r="N189" s="195"/>
      <c r="O189" s="195">
        <f t="shared" si="31"/>
        <v>150000</v>
      </c>
      <c r="P189" s="196">
        <v>100000</v>
      </c>
      <c r="Q189" s="197">
        <v>50000</v>
      </c>
      <c r="R189" s="195"/>
      <c r="S189" s="198"/>
      <c r="T189" s="198"/>
      <c r="U189" s="199"/>
      <c r="V189" s="199"/>
      <c r="W189" s="200"/>
    </row>
    <row r="190" spans="1:23" ht="18.75" x14ac:dyDescent="0.3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13">
        <f t="shared" si="31"/>
        <v>0</v>
      </c>
      <c r="P190" s="2"/>
      <c r="Q190" s="3"/>
      <c r="R190" s="12"/>
      <c r="S190" s="26"/>
      <c r="T190" s="26"/>
      <c r="U190" s="22"/>
      <c r="V190" s="22"/>
      <c r="W190" s="11"/>
    </row>
    <row r="191" spans="1:23" ht="18.75" x14ac:dyDescent="0.3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3">
        <f t="shared" si="31"/>
        <v>0</v>
      </c>
      <c r="P191" s="2"/>
      <c r="Q191" s="3"/>
      <c r="R191" s="12"/>
      <c r="S191" s="26"/>
      <c r="T191" s="26"/>
      <c r="U191" s="22"/>
      <c r="V191" s="22"/>
      <c r="W191" s="11"/>
    </row>
    <row r="192" spans="1:23" ht="18.75" x14ac:dyDescent="0.3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13">
        <f t="shared" si="31"/>
        <v>0</v>
      </c>
      <c r="P192" s="2"/>
      <c r="Q192" s="3"/>
      <c r="R192" s="12"/>
      <c r="S192" s="26">
        <f t="shared" si="30"/>
        <v>0</v>
      </c>
      <c r="T192" s="26"/>
      <c r="U192" s="22"/>
      <c r="V192" s="22"/>
      <c r="W192" s="11">
        <f t="shared" si="22"/>
        <v>0</v>
      </c>
    </row>
    <row r="193" spans="1:23" ht="18.75" x14ac:dyDescent="0.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>
        <f t="shared" si="31"/>
        <v>0</v>
      </c>
      <c r="P193" s="2"/>
      <c r="Q193" s="3"/>
      <c r="R193" s="12"/>
      <c r="S193" s="98">
        <f>R193-T193</f>
        <v>0</v>
      </c>
      <c r="T193" s="26">
        <v>0</v>
      </c>
      <c r="U193" s="22">
        <f t="shared" ref="U193" si="32">O193-(P193+Q193+R193)</f>
        <v>0</v>
      </c>
      <c r="V193" s="22"/>
      <c r="W193" s="11">
        <f t="shared" si="22"/>
        <v>0</v>
      </c>
    </row>
    <row r="194" spans="1:23" ht="18.75" x14ac:dyDescent="0.3">
      <c r="A194" s="1" t="s">
        <v>440</v>
      </c>
      <c r="B194" s="1" t="s">
        <v>441</v>
      </c>
      <c r="C194" s="12"/>
      <c r="D194" s="12">
        <f t="shared" ref="D194:I194" si="33">SUM(D3:D43)</f>
        <v>400000</v>
      </c>
      <c r="E194" s="12">
        <f t="shared" si="33"/>
        <v>2000000</v>
      </c>
      <c r="F194" s="12">
        <f t="shared" si="33"/>
        <v>4550000</v>
      </c>
      <c r="G194" s="12">
        <f t="shared" si="33"/>
        <v>11970000</v>
      </c>
      <c r="H194" s="12">
        <f t="shared" si="33"/>
        <v>1750000</v>
      </c>
      <c r="I194" s="12">
        <f t="shared" si="33"/>
        <v>200000</v>
      </c>
      <c r="J194" s="12"/>
      <c r="K194" s="12"/>
      <c r="L194" s="12"/>
      <c r="M194" s="12"/>
      <c r="N194" s="12"/>
      <c r="O194" s="12">
        <f>SUM(O3:O193)</f>
        <v>81960600</v>
      </c>
      <c r="P194" s="12">
        <f>SUM(P3:P193)</f>
        <v>65600000</v>
      </c>
      <c r="Q194" s="3"/>
      <c r="R194" s="12">
        <f>SUM(R3:R193)</f>
        <v>8210600</v>
      </c>
      <c r="S194" s="26">
        <f>R194-T194</f>
        <v>8210600</v>
      </c>
      <c r="T194" s="12"/>
      <c r="U194" s="12"/>
      <c r="V194" s="12"/>
      <c r="W194" s="12">
        <f>SUM(W3:W193)</f>
        <v>637</v>
      </c>
    </row>
    <row r="195" spans="1:23" ht="18.75" x14ac:dyDescent="0.3">
      <c r="A195" s="15"/>
      <c r="B195" s="15"/>
      <c r="C195" s="12"/>
      <c r="D195" s="16"/>
      <c r="E195" s="16"/>
      <c r="F195" s="16"/>
      <c r="G195" s="16"/>
      <c r="H195" s="16"/>
      <c r="I195" s="16"/>
      <c r="J195" s="12"/>
      <c r="K195" s="16"/>
      <c r="L195" s="16"/>
      <c r="M195" s="16"/>
      <c r="N195" s="16"/>
      <c r="O195" s="12">
        <f>SUM(C157:N157)</f>
        <v>150000</v>
      </c>
      <c r="P195" s="17"/>
      <c r="Q195" s="3"/>
      <c r="R195" s="19"/>
      <c r="S195" s="19"/>
      <c r="T195" s="19"/>
    </row>
    <row r="196" spans="1:23" ht="3" customHeight="1" x14ac:dyDescent="0.3">
      <c r="C196" s="12"/>
      <c r="D196" s="14"/>
      <c r="E196" s="14"/>
      <c r="F196" s="14"/>
      <c r="G196" s="14"/>
      <c r="H196" s="14"/>
      <c r="I196" s="14"/>
      <c r="J196" s="16"/>
      <c r="K196" s="14"/>
      <c r="L196" s="14"/>
      <c r="M196" s="14"/>
      <c r="N196" s="14"/>
      <c r="O196" s="12">
        <f>SUM(O3:O195)</f>
        <v>164071200</v>
      </c>
      <c r="Q196" s="3"/>
      <c r="R196" s="14"/>
      <c r="S196" s="14"/>
      <c r="T196" s="14"/>
    </row>
    <row r="197" spans="1:23" ht="18.75" hidden="1" x14ac:dyDescent="0.3">
      <c r="C197" s="16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6"/>
      <c r="Q197" s="12">
        <f>SUM(Q3:Q196)</f>
        <v>8150000</v>
      </c>
      <c r="R197" s="14"/>
      <c r="S197" s="14"/>
      <c r="T197" s="14"/>
    </row>
    <row r="198" spans="1:23" ht="18.75" x14ac:dyDescent="0.3">
      <c r="A198" s="15"/>
      <c r="B198" s="15"/>
      <c r="C198" s="14"/>
      <c r="D198" s="16"/>
      <c r="E198" s="16"/>
      <c r="F198" s="16"/>
      <c r="G198" s="16"/>
      <c r="H198" s="16"/>
      <c r="I198" s="16"/>
      <c r="J198" s="14"/>
      <c r="K198" s="16"/>
      <c r="L198" s="16"/>
      <c r="M198" s="16"/>
      <c r="N198" s="16"/>
      <c r="O198" s="14"/>
      <c r="P198" s="17"/>
      <c r="Q198" s="18"/>
      <c r="R198" s="19"/>
      <c r="S198" s="19"/>
      <c r="T198" s="19"/>
    </row>
    <row r="199" spans="1:23" ht="18.75" x14ac:dyDescent="0.3">
      <c r="A199" s="15"/>
      <c r="B199" s="15"/>
      <c r="C199" s="14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4"/>
      <c r="P199" s="17"/>
      <c r="R199" s="19"/>
      <c r="S199" s="19"/>
      <c r="T199" s="19"/>
    </row>
    <row r="200" spans="1:23" ht="18.75" x14ac:dyDescent="0.3">
      <c r="A200" s="15"/>
      <c r="B200" s="15"/>
      <c r="C200" s="16"/>
      <c r="D200" s="16"/>
      <c r="E200" s="16">
        <f>D194+E194</f>
        <v>2400000</v>
      </c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7">
        <f>P194+Q197+R194</f>
        <v>81960600</v>
      </c>
      <c r="R200" s="19"/>
      <c r="S200" s="19"/>
      <c r="T200" s="19"/>
    </row>
    <row r="201" spans="1:23" ht="18.75" x14ac:dyDescent="0.3">
      <c r="A201" s="15"/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s="18"/>
      <c r="R201" s="19"/>
      <c r="S201" s="19"/>
      <c r="T201" s="19"/>
    </row>
    <row r="202" spans="1:23" ht="18.75" x14ac:dyDescent="0.3">
      <c r="A202" s="15"/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7"/>
      <c r="Q202" s="18"/>
      <c r="R202" s="19"/>
      <c r="S202" s="19">
        <f>S194+T194</f>
        <v>8210600</v>
      </c>
      <c r="T202" s="19"/>
    </row>
    <row r="203" spans="1:23" ht="18.75" x14ac:dyDescent="0.3">
      <c r="C203" s="16"/>
      <c r="D203" s="14"/>
      <c r="E203" s="14"/>
      <c r="F203" s="14"/>
      <c r="G203" s="14"/>
      <c r="H203" s="14"/>
      <c r="I203" s="14"/>
      <c r="J203" s="16"/>
      <c r="K203" s="14"/>
      <c r="L203" s="14"/>
      <c r="M203" s="14"/>
      <c r="N203" s="14"/>
      <c r="O203" s="16"/>
      <c r="Q203" s="19"/>
      <c r="R203" s="14"/>
      <c r="S203" s="14"/>
      <c r="T203" s="14"/>
    </row>
    <row r="204" spans="1:23" ht="18.75" x14ac:dyDescent="0.3">
      <c r="C204" s="16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6"/>
      <c r="Q204" s="18"/>
      <c r="R204" s="14"/>
      <c r="S204" s="14"/>
      <c r="T204" s="14"/>
    </row>
    <row r="205" spans="1:23" ht="18.75" x14ac:dyDescent="0.3"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8"/>
      <c r="R205" s="14"/>
      <c r="S205" s="14"/>
      <c r="T205" s="14"/>
    </row>
    <row r="206" spans="1:23" x14ac:dyDescent="0.25"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R206" s="14"/>
      <c r="S206" s="14"/>
      <c r="T206" s="14"/>
    </row>
    <row r="207" spans="1:23" x14ac:dyDescent="0.25"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R207" s="14"/>
      <c r="S207" s="14"/>
      <c r="T207" s="14"/>
    </row>
    <row r="208" spans="1:23" x14ac:dyDescent="0.25"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20"/>
      <c r="R208" s="14"/>
      <c r="S208" s="14"/>
      <c r="T208" s="14"/>
    </row>
    <row r="209" spans="3:20" x14ac:dyDescent="0.25"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21"/>
      <c r="R209" s="14"/>
      <c r="S209" s="14"/>
      <c r="T209" s="14"/>
    </row>
    <row r="210" spans="3:20" x14ac:dyDescent="0.25"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R210" s="14"/>
      <c r="S210" s="14"/>
      <c r="T210" s="14"/>
    </row>
    <row r="211" spans="3:20" x14ac:dyDescent="0.25"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R211" s="14"/>
      <c r="S211" s="14"/>
      <c r="T211" s="14"/>
    </row>
    <row r="212" spans="3:20" x14ac:dyDescent="0.25"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R212" s="14"/>
      <c r="S212" s="14"/>
      <c r="T212" s="14"/>
    </row>
    <row r="213" spans="3:20" x14ac:dyDescent="0.25">
      <c r="C213" s="14"/>
      <c r="J213" s="14"/>
      <c r="O213" s="14"/>
    </row>
    <row r="214" spans="3:20" x14ac:dyDescent="0.25">
      <c r="C214" s="14"/>
      <c r="O214" s="14"/>
    </row>
  </sheetData>
  <sortState ref="B3:V180">
    <sortCondition ref="B3:B180"/>
  </sortState>
  <mergeCells count="1">
    <mergeCell ref="B1:R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8"/>
  <sheetViews>
    <sheetView topLeftCell="A37" workbookViewId="0">
      <selection activeCell="B21" sqref="B21"/>
    </sheetView>
  </sheetViews>
  <sheetFormatPr defaultRowHeight="15" x14ac:dyDescent="0.25"/>
  <cols>
    <col min="2" max="2" width="47.28515625" bestFit="1" customWidth="1"/>
    <col min="3" max="3" width="17.5703125" bestFit="1" customWidth="1"/>
    <col min="4" max="4" width="11" bestFit="1" customWidth="1"/>
    <col min="5" max="5" width="17.5703125" bestFit="1" customWidth="1"/>
    <col min="7" max="7" width="11.5703125" bestFit="1" customWidth="1"/>
  </cols>
  <sheetData>
    <row r="3" spans="1:5" ht="18.399999999999999" x14ac:dyDescent="0.5">
      <c r="A3" s="220" t="s">
        <v>414</v>
      </c>
      <c r="B3" s="220"/>
      <c r="C3" s="220"/>
      <c r="D3" s="220"/>
      <c r="E3" s="220"/>
    </row>
    <row r="4" spans="1:5" ht="33.4" x14ac:dyDescent="0.45">
      <c r="A4" s="45" t="s">
        <v>415</v>
      </c>
      <c r="B4" s="45" t="s">
        <v>341</v>
      </c>
      <c r="C4" s="45" t="s">
        <v>416</v>
      </c>
      <c r="D4" s="46" t="s">
        <v>417</v>
      </c>
      <c r="E4" s="45" t="s">
        <v>407</v>
      </c>
    </row>
    <row r="5" spans="1:5" s="38" customFormat="1" ht="17.25" x14ac:dyDescent="0.3">
      <c r="A5" s="77">
        <v>1</v>
      </c>
      <c r="B5" s="48" t="s">
        <v>13</v>
      </c>
      <c r="C5" s="49">
        <f>4500000+500000+1000000+500000+1000000+1500000</f>
        <v>9000000</v>
      </c>
      <c r="D5" s="49"/>
      <c r="E5" s="49">
        <f t="shared" ref="E5:E29" si="0">9000000-C5</f>
        <v>0</v>
      </c>
    </row>
    <row r="6" spans="1:5" s="38" customFormat="1" ht="17.25" x14ac:dyDescent="0.3">
      <c r="A6" s="77">
        <v>2</v>
      </c>
      <c r="B6" s="48" t="s">
        <v>473</v>
      </c>
      <c r="C6" s="49">
        <f>4500000+2000000</f>
        <v>6500000</v>
      </c>
      <c r="D6" s="49">
        <v>50000</v>
      </c>
      <c r="E6" s="49">
        <f t="shared" si="0"/>
        <v>2500000</v>
      </c>
    </row>
    <row r="7" spans="1:5" s="38" customFormat="1" ht="16.7" x14ac:dyDescent="0.45">
      <c r="A7" s="78">
        <v>3</v>
      </c>
      <c r="B7" s="48" t="s">
        <v>20</v>
      </c>
      <c r="C7" s="49">
        <f>4500000+2300000+200000+2000000</f>
        <v>9000000</v>
      </c>
      <c r="D7" s="49"/>
      <c r="E7" s="49">
        <f t="shared" si="0"/>
        <v>0</v>
      </c>
    </row>
    <row r="8" spans="1:5" s="38" customFormat="1" ht="17.25" x14ac:dyDescent="0.3">
      <c r="A8" s="78">
        <v>4</v>
      </c>
      <c r="B8" s="48" t="s">
        <v>418</v>
      </c>
      <c r="C8" s="49">
        <f>400000+900000+2200000+700000+100000+900000+1500000+1000000+1200000+100000</f>
        <v>9000000</v>
      </c>
      <c r="D8" s="49"/>
      <c r="E8" s="49">
        <f t="shared" si="0"/>
        <v>0</v>
      </c>
    </row>
    <row r="9" spans="1:5" s="38" customFormat="1" ht="16.7" x14ac:dyDescent="0.45">
      <c r="A9" s="78">
        <v>5</v>
      </c>
      <c r="B9" s="48" t="s">
        <v>44</v>
      </c>
      <c r="C9" s="49">
        <f>500000+4500000+2000000+2000000</f>
        <v>9000000</v>
      </c>
      <c r="D9" s="49">
        <v>50000</v>
      </c>
      <c r="E9" s="49">
        <f t="shared" si="0"/>
        <v>0</v>
      </c>
    </row>
    <row r="10" spans="1:5" s="38" customFormat="1" ht="16.7" x14ac:dyDescent="0.45">
      <c r="A10" s="78">
        <v>6</v>
      </c>
      <c r="B10" s="48" t="s">
        <v>419</v>
      </c>
      <c r="C10" s="49">
        <f>400000+600000+1400000+2100000+1200000+3000000+300000</f>
        <v>9000000</v>
      </c>
      <c r="D10" s="49">
        <v>50000</v>
      </c>
      <c r="E10" s="49">
        <f t="shared" si="0"/>
        <v>0</v>
      </c>
    </row>
    <row r="11" spans="1:5" s="38" customFormat="1" ht="16.7" x14ac:dyDescent="0.45">
      <c r="A11" s="78">
        <v>7</v>
      </c>
      <c r="B11" s="48" t="s">
        <v>48</v>
      </c>
      <c r="C11" s="49">
        <f>4500000+2500000+2000000</f>
        <v>9000000</v>
      </c>
      <c r="D11" s="49"/>
      <c r="E11" s="49">
        <f t="shared" si="0"/>
        <v>0</v>
      </c>
    </row>
    <row r="12" spans="1:5" s="38" customFormat="1" ht="16.7" x14ac:dyDescent="0.45">
      <c r="A12" s="78">
        <v>8</v>
      </c>
      <c r="B12" s="48" t="s">
        <v>52</v>
      </c>
      <c r="C12" s="49">
        <f>1000000+3500000+4000000+500000</f>
        <v>9000000</v>
      </c>
      <c r="D12" s="49">
        <v>50000</v>
      </c>
      <c r="E12" s="49">
        <f t="shared" si="0"/>
        <v>0</v>
      </c>
    </row>
    <row r="13" spans="1:5" s="38" customFormat="1" ht="16.7" x14ac:dyDescent="0.45">
      <c r="A13" s="78">
        <v>9</v>
      </c>
      <c r="B13" s="48" t="s">
        <v>61</v>
      </c>
      <c r="C13" s="49">
        <f>4500000+4500000</f>
        <v>9000000</v>
      </c>
      <c r="D13" s="49"/>
      <c r="E13" s="49">
        <f t="shared" si="0"/>
        <v>0</v>
      </c>
    </row>
    <row r="14" spans="1:5" s="38" customFormat="1" ht="16.7" x14ac:dyDescent="0.45">
      <c r="A14" s="78">
        <v>10</v>
      </c>
      <c r="B14" s="48" t="s">
        <v>310</v>
      </c>
      <c r="C14" s="49">
        <f>4000000+5000000</f>
        <v>9000000</v>
      </c>
      <c r="D14" s="49"/>
      <c r="E14" s="49">
        <f t="shared" si="0"/>
        <v>0</v>
      </c>
    </row>
    <row r="15" spans="1:5" s="38" customFormat="1" ht="16.7" x14ac:dyDescent="0.45">
      <c r="A15" s="78">
        <v>11</v>
      </c>
      <c r="B15" s="48" t="s">
        <v>72</v>
      </c>
      <c r="C15" s="49">
        <f>4500000+4500000</f>
        <v>9000000</v>
      </c>
      <c r="D15" s="49">
        <v>50000</v>
      </c>
      <c r="E15" s="49">
        <f t="shared" si="0"/>
        <v>0</v>
      </c>
    </row>
    <row r="16" spans="1:5" s="38" customFormat="1" ht="16.7" x14ac:dyDescent="0.45">
      <c r="A16" s="78">
        <v>12</v>
      </c>
      <c r="B16" s="48" t="s">
        <v>420</v>
      </c>
      <c r="C16" s="49">
        <v>18000000</v>
      </c>
      <c r="D16" s="49"/>
      <c r="E16" s="49">
        <f>G25-C16</f>
        <v>27000000</v>
      </c>
    </row>
    <row r="17" spans="1:7" s="38" customFormat="1" ht="16.7" x14ac:dyDescent="0.45">
      <c r="A17" s="78">
        <v>13</v>
      </c>
      <c r="B17" s="48" t="s">
        <v>421</v>
      </c>
      <c r="C17" s="49">
        <f>4500000+1500000+1500000+1500000</f>
        <v>9000000</v>
      </c>
      <c r="D17" s="49">
        <v>50000</v>
      </c>
      <c r="E17" s="49">
        <f t="shared" si="0"/>
        <v>0</v>
      </c>
      <c r="G17" s="75">
        <v>18000000</v>
      </c>
    </row>
    <row r="18" spans="1:7" s="38" customFormat="1" ht="16.7" x14ac:dyDescent="0.45">
      <c r="A18" s="78">
        <v>14</v>
      </c>
      <c r="B18" s="48" t="s">
        <v>86</v>
      </c>
      <c r="C18" s="49">
        <f>4500000+4500000+4500000+2000000+2500000</f>
        <v>18000000</v>
      </c>
      <c r="D18" s="49"/>
      <c r="E18" s="49">
        <f>G17-C18</f>
        <v>0</v>
      </c>
    </row>
    <row r="19" spans="1:7" s="38" customFormat="1" ht="16.7" x14ac:dyDescent="0.45">
      <c r="A19" s="78">
        <v>15</v>
      </c>
      <c r="B19" s="48" t="s">
        <v>99</v>
      </c>
      <c r="C19" s="49">
        <f>4500000+4500000</f>
        <v>9000000</v>
      </c>
      <c r="D19" s="49">
        <v>50000</v>
      </c>
      <c r="E19" s="49"/>
    </row>
    <row r="20" spans="1:7" s="38" customFormat="1" ht="16.7" x14ac:dyDescent="0.45">
      <c r="A20" s="78">
        <v>16</v>
      </c>
      <c r="B20" s="48" t="s">
        <v>111</v>
      </c>
      <c r="C20" s="49">
        <f>4500000+700000+3800000</f>
        <v>9000000</v>
      </c>
      <c r="D20" s="49">
        <v>50000</v>
      </c>
      <c r="E20" s="49">
        <f t="shared" si="0"/>
        <v>0</v>
      </c>
    </row>
    <row r="21" spans="1:7" s="38" customFormat="1" ht="16.7" x14ac:dyDescent="0.45">
      <c r="A21" s="78">
        <v>17</v>
      </c>
      <c r="B21" s="48" t="s">
        <v>472</v>
      </c>
      <c r="C21" s="49">
        <f>4500000+4500000</f>
        <v>9000000</v>
      </c>
      <c r="D21" s="49">
        <v>50000</v>
      </c>
      <c r="E21" s="49">
        <f t="shared" si="0"/>
        <v>0</v>
      </c>
    </row>
    <row r="22" spans="1:7" s="38" customFormat="1" ht="17.25" x14ac:dyDescent="0.3">
      <c r="A22" s="78">
        <v>18</v>
      </c>
      <c r="B22" s="48" t="s">
        <v>114</v>
      </c>
      <c r="C22" s="49">
        <f>5000000+4000000</f>
        <v>9000000</v>
      </c>
      <c r="D22" s="49">
        <v>50000</v>
      </c>
      <c r="E22" s="49">
        <f t="shared" si="0"/>
        <v>0</v>
      </c>
    </row>
    <row r="23" spans="1:7" s="38" customFormat="1" ht="17.25" x14ac:dyDescent="0.3">
      <c r="A23" s="78">
        <v>19</v>
      </c>
      <c r="B23" s="48" t="s">
        <v>120</v>
      </c>
      <c r="C23" s="49">
        <f>4300000+200000+1000000+1000000+1000000+1000000+500000</f>
        <v>9000000</v>
      </c>
      <c r="D23" s="49">
        <v>50000</v>
      </c>
      <c r="E23" s="49">
        <f t="shared" si="0"/>
        <v>0</v>
      </c>
    </row>
    <row r="24" spans="1:7" s="38" customFormat="1" ht="17.25" x14ac:dyDescent="0.3">
      <c r="A24" s="78">
        <v>20</v>
      </c>
      <c r="B24" s="48" t="s">
        <v>122</v>
      </c>
      <c r="C24" s="49">
        <f>4000000+2500000+2500000</f>
        <v>9000000</v>
      </c>
      <c r="D24" s="49">
        <v>50000</v>
      </c>
      <c r="E24" s="49">
        <f t="shared" si="0"/>
        <v>0</v>
      </c>
    </row>
    <row r="25" spans="1:7" s="38" customFormat="1" ht="17.25" x14ac:dyDescent="0.3">
      <c r="A25" s="78">
        <v>21</v>
      </c>
      <c r="B25" s="48" t="s">
        <v>422</v>
      </c>
      <c r="C25" s="49">
        <v>12400000</v>
      </c>
      <c r="D25" s="49"/>
      <c r="E25" s="49">
        <f>G25-C25</f>
        <v>32600000</v>
      </c>
      <c r="G25" s="75">
        <v>45000000</v>
      </c>
    </row>
    <row r="26" spans="1:7" s="38" customFormat="1" ht="17.25" x14ac:dyDescent="0.3">
      <c r="A26" s="78">
        <v>22</v>
      </c>
      <c r="B26" s="48" t="s">
        <v>139</v>
      </c>
      <c r="C26" s="49">
        <f>5000000+1500000+2500000</f>
        <v>9000000</v>
      </c>
      <c r="D26" s="49">
        <v>50000</v>
      </c>
      <c r="E26" s="49">
        <f t="shared" si="0"/>
        <v>0</v>
      </c>
    </row>
    <row r="27" spans="1:7" s="38" customFormat="1" ht="17.25" x14ac:dyDescent="0.3">
      <c r="A27" s="78">
        <v>24</v>
      </c>
      <c r="B27" s="48" t="s">
        <v>146</v>
      </c>
      <c r="C27" s="49">
        <f>1300000+3000000+1700000+2000000+1000000</f>
        <v>9000000</v>
      </c>
      <c r="D27" s="49"/>
      <c r="E27" s="49">
        <f t="shared" si="0"/>
        <v>0</v>
      </c>
    </row>
    <row r="28" spans="1:7" s="38" customFormat="1" ht="17.25" x14ac:dyDescent="0.3">
      <c r="A28" s="78">
        <v>25</v>
      </c>
      <c r="B28" s="48" t="s">
        <v>423</v>
      </c>
      <c r="C28" s="49">
        <f>4500000+2000000</f>
        <v>6500000</v>
      </c>
      <c r="D28" s="49">
        <v>50000</v>
      </c>
      <c r="E28" s="49">
        <f t="shared" si="0"/>
        <v>2500000</v>
      </c>
    </row>
    <row r="29" spans="1:7" s="38" customFormat="1" ht="17.25" x14ac:dyDescent="0.3">
      <c r="A29" s="78">
        <v>26</v>
      </c>
      <c r="B29" s="48" t="s">
        <v>150</v>
      </c>
      <c r="C29" s="49">
        <f>4000000+2000000</f>
        <v>6000000</v>
      </c>
      <c r="D29" s="49"/>
      <c r="E29" s="49">
        <f t="shared" si="0"/>
        <v>3000000</v>
      </c>
    </row>
    <row r="30" spans="1:7" s="38" customFormat="1" ht="17.25" x14ac:dyDescent="0.3">
      <c r="A30" s="78">
        <v>27</v>
      </c>
      <c r="B30" s="48" t="s">
        <v>173</v>
      </c>
      <c r="C30" s="49">
        <v>27000000</v>
      </c>
      <c r="D30" s="49"/>
      <c r="E30" s="49" t="s">
        <v>424</v>
      </c>
    </row>
    <row r="31" spans="1:7" s="38" customFormat="1" ht="17.25" x14ac:dyDescent="0.3">
      <c r="A31" s="78">
        <v>28</v>
      </c>
      <c r="B31" s="48" t="s">
        <v>181</v>
      </c>
      <c r="C31" s="49">
        <v>4500000</v>
      </c>
      <c r="D31" s="49"/>
      <c r="E31" s="49">
        <f t="shared" ref="E31:E55" si="1">9000000-C31</f>
        <v>4500000</v>
      </c>
    </row>
    <row r="32" spans="1:7" s="38" customFormat="1" ht="17.25" x14ac:dyDescent="0.3">
      <c r="A32" s="78">
        <v>29</v>
      </c>
      <c r="B32" s="48" t="s">
        <v>199</v>
      </c>
      <c r="C32" s="49">
        <f>4300000+500000+1800000+2400000</f>
        <v>9000000</v>
      </c>
      <c r="D32" s="49"/>
      <c r="E32" s="49">
        <f t="shared" si="1"/>
        <v>0</v>
      </c>
    </row>
    <row r="33" spans="1:7" s="38" customFormat="1" ht="17.25" x14ac:dyDescent="0.3">
      <c r="A33" s="78">
        <v>30</v>
      </c>
      <c r="B33" s="48" t="s">
        <v>425</v>
      </c>
      <c r="C33" s="49">
        <f>200000+4200000+2100000+2500000</f>
        <v>9000000</v>
      </c>
      <c r="D33" s="49">
        <v>50000</v>
      </c>
      <c r="E33" s="49">
        <f t="shared" si="1"/>
        <v>0</v>
      </c>
    </row>
    <row r="34" spans="1:7" s="38" customFormat="1" ht="17.25" x14ac:dyDescent="0.3">
      <c r="A34" s="78">
        <v>31</v>
      </c>
      <c r="B34" s="48" t="s">
        <v>426</v>
      </c>
      <c r="C34" s="49">
        <f>4500000+2000000+2500000</f>
        <v>9000000</v>
      </c>
      <c r="D34" s="49"/>
      <c r="E34" s="49">
        <f t="shared" si="1"/>
        <v>0</v>
      </c>
    </row>
    <row r="35" spans="1:7" s="38" customFormat="1" ht="17.25" x14ac:dyDescent="0.3">
      <c r="A35" s="78">
        <v>32</v>
      </c>
      <c r="B35" s="48" t="s">
        <v>218</v>
      </c>
      <c r="C35" s="49">
        <v>4500000</v>
      </c>
      <c r="D35" s="49">
        <v>50000</v>
      </c>
      <c r="E35" s="49">
        <f t="shared" si="1"/>
        <v>4500000</v>
      </c>
    </row>
    <row r="36" spans="1:7" s="38" customFormat="1" ht="17.25" x14ac:dyDescent="0.3">
      <c r="A36" s="78">
        <v>33</v>
      </c>
      <c r="B36" s="48" t="s">
        <v>240</v>
      </c>
      <c r="C36" s="49">
        <f>2000000+4000000+3000000</f>
        <v>9000000</v>
      </c>
      <c r="D36" s="49">
        <v>50000</v>
      </c>
      <c r="E36" s="49">
        <f t="shared" si="1"/>
        <v>0</v>
      </c>
    </row>
    <row r="37" spans="1:7" s="38" customFormat="1" ht="17.25" x14ac:dyDescent="0.3">
      <c r="A37" s="78">
        <v>34</v>
      </c>
      <c r="B37" s="48" t="s">
        <v>427</v>
      </c>
      <c r="C37" s="49">
        <f>1000000+4000000+4000000</f>
        <v>9000000</v>
      </c>
      <c r="D37" s="49">
        <v>50000</v>
      </c>
      <c r="E37" s="49">
        <f t="shared" si="1"/>
        <v>0</v>
      </c>
    </row>
    <row r="38" spans="1:7" s="38" customFormat="1" ht="17.25" x14ac:dyDescent="0.3">
      <c r="A38" s="78">
        <v>35</v>
      </c>
      <c r="B38" s="48" t="s">
        <v>258</v>
      </c>
      <c r="C38" s="49">
        <f>1000000+4500000+2500000+1000000</f>
        <v>9000000</v>
      </c>
      <c r="D38" s="49">
        <v>50000</v>
      </c>
      <c r="E38" s="49">
        <f t="shared" si="1"/>
        <v>0</v>
      </c>
    </row>
    <row r="39" spans="1:7" s="38" customFormat="1" ht="17.25" x14ac:dyDescent="0.3">
      <c r="A39" s="78">
        <v>36</v>
      </c>
      <c r="B39" s="48" t="s">
        <v>270</v>
      </c>
      <c r="C39" s="49">
        <v>9000000</v>
      </c>
      <c r="D39" s="49" t="s">
        <v>424</v>
      </c>
      <c r="E39" s="49">
        <f t="shared" si="1"/>
        <v>0</v>
      </c>
    </row>
    <row r="40" spans="1:7" s="38" customFormat="1" ht="17.25" x14ac:dyDescent="0.3">
      <c r="A40" s="78">
        <v>37</v>
      </c>
      <c r="B40" s="48" t="s">
        <v>428</v>
      </c>
      <c r="C40" s="49">
        <v>5000000</v>
      </c>
      <c r="D40" s="49"/>
      <c r="E40" s="49">
        <f t="shared" si="1"/>
        <v>4000000</v>
      </c>
    </row>
    <row r="41" spans="1:7" s="38" customFormat="1" ht="17.25" x14ac:dyDescent="0.3">
      <c r="A41" s="78">
        <v>38</v>
      </c>
      <c r="B41" s="48" t="s">
        <v>281</v>
      </c>
      <c r="C41" s="49">
        <f>4500000+2000000+2500000</f>
        <v>9000000</v>
      </c>
      <c r="D41" s="49"/>
      <c r="E41" s="49">
        <f t="shared" si="1"/>
        <v>0</v>
      </c>
    </row>
    <row r="42" spans="1:7" s="38" customFormat="1" ht="17.25" x14ac:dyDescent="0.3">
      <c r="A42" s="78">
        <v>39</v>
      </c>
      <c r="B42" s="48" t="s">
        <v>429</v>
      </c>
      <c r="C42" s="49">
        <f>4500000+1000000</f>
        <v>5500000</v>
      </c>
      <c r="D42" s="49"/>
      <c r="E42" s="49">
        <f t="shared" si="1"/>
        <v>3500000</v>
      </c>
      <c r="G42" s="79">
        <f>SUM(E42+E52+E35+E25+E16+E6)</f>
        <v>74600000</v>
      </c>
    </row>
    <row r="43" spans="1:7" s="38" customFormat="1" ht="17.25" x14ac:dyDescent="0.3">
      <c r="A43" s="78">
        <v>40</v>
      </c>
      <c r="B43" s="48" t="s">
        <v>295</v>
      </c>
      <c r="C43" s="49">
        <f>100000+4500000+4400000</f>
        <v>9000000</v>
      </c>
      <c r="D43" s="49">
        <v>50000</v>
      </c>
      <c r="E43" s="49">
        <f t="shared" si="1"/>
        <v>0</v>
      </c>
    </row>
    <row r="44" spans="1:7" s="38" customFormat="1" ht="17.25" x14ac:dyDescent="0.3">
      <c r="A44" s="78">
        <v>41</v>
      </c>
      <c r="B44" s="48" t="s">
        <v>305</v>
      </c>
      <c r="C44" s="49">
        <f>4500000+4500000</f>
        <v>9000000</v>
      </c>
      <c r="D44" s="49">
        <v>50000</v>
      </c>
      <c r="E44" s="49">
        <f t="shared" si="1"/>
        <v>0</v>
      </c>
    </row>
    <row r="45" spans="1:7" s="38" customFormat="1" ht="17.25" x14ac:dyDescent="0.3">
      <c r="A45" s="78">
        <v>42</v>
      </c>
      <c r="B45" s="48" t="s">
        <v>307</v>
      </c>
      <c r="C45" s="49">
        <f>5500000+3500000</f>
        <v>9000000</v>
      </c>
      <c r="D45" s="49">
        <v>50000</v>
      </c>
      <c r="E45" s="49">
        <f t="shared" si="1"/>
        <v>0</v>
      </c>
    </row>
    <row r="46" spans="1:7" s="38" customFormat="1" ht="17.25" x14ac:dyDescent="0.3">
      <c r="A46" s="78">
        <v>43</v>
      </c>
      <c r="B46" s="48" t="s">
        <v>309</v>
      </c>
      <c r="C46" s="49">
        <f>4500000+4500000</f>
        <v>9000000</v>
      </c>
      <c r="D46" s="49"/>
      <c r="E46" s="49">
        <f t="shared" si="1"/>
        <v>0</v>
      </c>
    </row>
    <row r="47" spans="1:7" s="38" customFormat="1" ht="17.25" x14ac:dyDescent="0.3">
      <c r="A47" s="78">
        <v>44</v>
      </c>
      <c r="B47" s="48" t="s">
        <v>313</v>
      </c>
      <c r="C47" s="49">
        <f>4500000+4500000</f>
        <v>9000000</v>
      </c>
      <c r="D47" s="49">
        <v>50000</v>
      </c>
      <c r="E47" s="49">
        <f t="shared" si="1"/>
        <v>0</v>
      </c>
    </row>
    <row r="48" spans="1:7" s="38" customFormat="1" ht="17.25" x14ac:dyDescent="0.3">
      <c r="A48" s="78">
        <v>45</v>
      </c>
      <c r="B48" s="48" t="s">
        <v>430</v>
      </c>
      <c r="C48" s="49">
        <v>9000000</v>
      </c>
      <c r="D48" s="49"/>
      <c r="E48" s="49">
        <f t="shared" si="1"/>
        <v>0</v>
      </c>
    </row>
    <row r="49" spans="1:5" s="38" customFormat="1" ht="17.25" x14ac:dyDescent="0.3">
      <c r="A49" s="78">
        <v>46</v>
      </c>
      <c r="B49" s="48" t="s">
        <v>260</v>
      </c>
      <c r="C49" s="49">
        <v>1100000</v>
      </c>
      <c r="D49" s="49"/>
      <c r="E49" s="49">
        <f t="shared" si="1"/>
        <v>7900000</v>
      </c>
    </row>
    <row r="50" spans="1:5" s="38" customFormat="1" ht="17.25" x14ac:dyDescent="0.3">
      <c r="A50" s="78">
        <v>47</v>
      </c>
      <c r="B50" s="48" t="s">
        <v>384</v>
      </c>
      <c r="C50" s="49">
        <v>500000</v>
      </c>
      <c r="D50" s="49"/>
      <c r="E50" s="49">
        <f t="shared" si="1"/>
        <v>8500000</v>
      </c>
    </row>
    <row r="51" spans="1:5" s="38" customFormat="1" ht="17.25" x14ac:dyDescent="0.3">
      <c r="A51" s="78">
        <v>48</v>
      </c>
      <c r="B51" s="48" t="s">
        <v>317</v>
      </c>
      <c r="C51" s="49">
        <v>5000000</v>
      </c>
      <c r="D51" s="49"/>
      <c r="E51" s="49">
        <f t="shared" si="1"/>
        <v>4000000</v>
      </c>
    </row>
    <row r="52" spans="1:5" s="38" customFormat="1" ht="17.25" x14ac:dyDescent="0.3">
      <c r="A52" s="78">
        <v>49</v>
      </c>
      <c r="B52" s="48" t="s">
        <v>471</v>
      </c>
      <c r="C52" s="49">
        <f>3000000+1500000</f>
        <v>4500000</v>
      </c>
      <c r="D52" s="49">
        <f>50000+50000</f>
        <v>100000</v>
      </c>
      <c r="E52" s="49">
        <f t="shared" si="1"/>
        <v>4500000</v>
      </c>
    </row>
    <row r="53" spans="1:5" s="38" customFormat="1" ht="17.25" x14ac:dyDescent="0.3">
      <c r="A53" s="78">
        <v>50</v>
      </c>
      <c r="B53" s="48" t="s">
        <v>34</v>
      </c>
      <c r="C53" s="49">
        <v>9000000</v>
      </c>
      <c r="D53" s="49">
        <v>50000</v>
      </c>
      <c r="E53" s="49">
        <f t="shared" si="1"/>
        <v>0</v>
      </c>
    </row>
    <row r="54" spans="1:5" s="38" customFormat="1" ht="17.25" x14ac:dyDescent="0.3">
      <c r="A54" s="78">
        <v>51</v>
      </c>
      <c r="B54" s="48" t="s">
        <v>188</v>
      </c>
      <c r="C54" s="49">
        <f>4000000+5000000</f>
        <v>9000000</v>
      </c>
      <c r="D54" s="49">
        <v>50000</v>
      </c>
      <c r="E54" s="49">
        <f t="shared" si="1"/>
        <v>0</v>
      </c>
    </row>
    <row r="55" spans="1:5" s="38" customFormat="1" ht="17.25" x14ac:dyDescent="0.3">
      <c r="A55" s="78">
        <v>52</v>
      </c>
      <c r="B55" s="48" t="s">
        <v>94</v>
      </c>
      <c r="C55" s="49">
        <v>9000000</v>
      </c>
      <c r="D55" s="49">
        <v>50000</v>
      </c>
      <c r="E55" s="49">
        <f t="shared" si="1"/>
        <v>0</v>
      </c>
    </row>
    <row r="56" spans="1:5" ht="17.25" x14ac:dyDescent="0.3">
      <c r="A56" s="47"/>
      <c r="B56" s="48"/>
      <c r="C56" s="49"/>
      <c r="D56" s="49"/>
      <c r="E56" s="49"/>
    </row>
    <row r="57" spans="1:5" ht="17.25" x14ac:dyDescent="0.3">
      <c r="A57" s="47"/>
      <c r="B57" s="48"/>
      <c r="C57" s="49"/>
      <c r="D57" s="49"/>
      <c r="E57" s="49"/>
    </row>
    <row r="58" spans="1:5" ht="18.75" x14ac:dyDescent="0.3">
      <c r="A58" s="47"/>
      <c r="B58" s="50" t="s">
        <v>331</v>
      </c>
      <c r="C58" s="51">
        <f>SUM(C5:C52)</f>
        <v>422000000</v>
      </c>
      <c r="D58" s="52"/>
      <c r="E58" s="51">
        <f>SUM(E5:E52)</f>
        <v>109000000</v>
      </c>
    </row>
  </sheetData>
  <mergeCells count="1">
    <mergeCell ref="A3:E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68"/>
  <sheetViews>
    <sheetView topLeftCell="A22" workbookViewId="0">
      <selection activeCell="E37" sqref="E37"/>
    </sheetView>
  </sheetViews>
  <sheetFormatPr defaultRowHeight="15" x14ac:dyDescent="0.25"/>
  <cols>
    <col min="2" max="2" width="42.7109375" customWidth="1"/>
    <col min="3" max="3" width="17.42578125" bestFit="1" customWidth="1"/>
    <col min="4" max="4" width="12.140625" bestFit="1" customWidth="1"/>
    <col min="5" max="5" width="12.28515625" customWidth="1"/>
    <col min="6" max="6" width="12.5703125" bestFit="1" customWidth="1"/>
    <col min="7" max="7" width="11.5703125" customWidth="1"/>
  </cols>
  <sheetData>
    <row r="2" spans="1:13" ht="18.75" x14ac:dyDescent="0.3">
      <c r="A2" s="221" t="s">
        <v>585</v>
      </c>
      <c r="B2" s="222"/>
      <c r="C2" s="222"/>
      <c r="D2" s="222"/>
      <c r="E2" s="222"/>
      <c r="F2" s="223"/>
      <c r="G2" s="103"/>
      <c r="H2" s="103"/>
      <c r="I2" s="104"/>
      <c r="J2" s="104"/>
      <c r="K2" s="104"/>
    </row>
    <row r="3" spans="1:13" ht="18.75" x14ac:dyDescent="0.3">
      <c r="A3" s="100" t="s">
        <v>342</v>
      </c>
      <c r="B3" s="101" t="s">
        <v>341</v>
      </c>
      <c r="C3" s="101" t="s">
        <v>586</v>
      </c>
      <c r="D3" s="102" t="s">
        <v>343</v>
      </c>
      <c r="E3" s="101" t="s">
        <v>588</v>
      </c>
      <c r="F3" s="102" t="s">
        <v>407</v>
      </c>
      <c r="G3" s="103"/>
      <c r="H3" s="103"/>
      <c r="I3" s="104"/>
      <c r="J3" s="104"/>
      <c r="K3" s="104"/>
    </row>
    <row r="4" spans="1:13" s="38" customFormat="1" ht="15" customHeight="1" x14ac:dyDescent="0.3">
      <c r="A4" s="100">
        <v>1</v>
      </c>
      <c r="B4" s="109" t="s">
        <v>559</v>
      </c>
      <c r="C4" s="36" t="s">
        <v>587</v>
      </c>
      <c r="D4" s="37">
        <v>8000000</v>
      </c>
      <c r="E4" s="37">
        <f>1000000+7000000</f>
        <v>8000000</v>
      </c>
      <c r="F4" s="110">
        <f>D4-E4</f>
        <v>0</v>
      </c>
      <c r="G4" s="111"/>
      <c r="H4" s="111"/>
      <c r="I4" s="111"/>
      <c r="J4" s="111"/>
      <c r="K4" s="111"/>
    </row>
    <row r="5" spans="1:13" s="38" customFormat="1" ht="15" customHeight="1" x14ac:dyDescent="0.3">
      <c r="A5" s="100">
        <v>2</v>
      </c>
      <c r="B5" s="109" t="s">
        <v>548</v>
      </c>
      <c r="C5" s="112" t="s">
        <v>587</v>
      </c>
      <c r="D5" s="37">
        <v>8000000</v>
      </c>
      <c r="E5" s="37">
        <v>4000000</v>
      </c>
      <c r="F5" s="110">
        <f t="shared" ref="F5:F64" si="0">D5-E5</f>
        <v>4000000</v>
      </c>
      <c r="G5" s="111"/>
      <c r="H5" s="111"/>
      <c r="I5" s="111"/>
      <c r="J5" s="111"/>
      <c r="K5" s="111"/>
    </row>
    <row r="6" spans="1:13" s="38" customFormat="1" ht="15" customHeight="1" x14ac:dyDescent="0.3">
      <c r="A6" s="183">
        <v>3</v>
      </c>
      <c r="B6" s="109" t="s">
        <v>72</v>
      </c>
      <c r="C6" s="36" t="s">
        <v>587</v>
      </c>
      <c r="D6" s="37">
        <v>8000000</v>
      </c>
      <c r="E6" s="37">
        <f>2000000+1000000+2000000</f>
        <v>5000000</v>
      </c>
      <c r="F6" s="110">
        <f t="shared" si="0"/>
        <v>3000000</v>
      </c>
      <c r="G6" s="111"/>
      <c r="H6" s="111"/>
      <c r="I6" s="111"/>
      <c r="J6" s="111"/>
      <c r="K6" s="111"/>
    </row>
    <row r="7" spans="1:13" s="38" customFormat="1" ht="15" customHeight="1" x14ac:dyDescent="0.25">
      <c r="A7" s="36">
        <v>54</v>
      </c>
      <c r="B7" s="109" t="s">
        <v>629</v>
      </c>
      <c r="C7" s="36" t="s">
        <v>587</v>
      </c>
      <c r="D7" s="37">
        <v>8000000</v>
      </c>
      <c r="E7" s="37">
        <f>2000000+3000000</f>
        <v>5000000</v>
      </c>
      <c r="F7" s="110">
        <f t="shared" si="0"/>
        <v>3000000</v>
      </c>
      <c r="G7" s="111"/>
      <c r="H7" s="111"/>
      <c r="I7" s="111"/>
      <c r="J7" s="111"/>
      <c r="K7" s="111"/>
    </row>
    <row r="8" spans="1:13" s="38" customFormat="1" ht="15" customHeight="1" x14ac:dyDescent="0.25">
      <c r="A8" s="36">
        <v>5</v>
      </c>
      <c r="B8" s="109" t="s">
        <v>594</v>
      </c>
      <c r="C8" s="36" t="s">
        <v>587</v>
      </c>
      <c r="D8" s="37">
        <v>8000000</v>
      </c>
      <c r="E8" s="37">
        <v>1500000</v>
      </c>
      <c r="F8" s="110">
        <f t="shared" si="0"/>
        <v>6500000</v>
      </c>
      <c r="G8" s="111"/>
      <c r="H8" s="111"/>
      <c r="I8" s="111"/>
      <c r="J8" s="111"/>
      <c r="K8" s="111"/>
    </row>
    <row r="9" spans="1:13" s="38" customFormat="1" ht="15" customHeight="1" x14ac:dyDescent="0.25">
      <c r="A9" s="36">
        <v>6</v>
      </c>
      <c r="B9" s="109" t="s">
        <v>313</v>
      </c>
      <c r="C9" s="36" t="s">
        <v>587</v>
      </c>
      <c r="D9" s="37">
        <v>8000000</v>
      </c>
      <c r="E9" s="37">
        <v>4000000</v>
      </c>
      <c r="F9" s="110">
        <f t="shared" si="0"/>
        <v>4000000</v>
      </c>
      <c r="G9" s="111"/>
      <c r="H9" s="111"/>
      <c r="I9" s="111"/>
      <c r="J9" s="111"/>
      <c r="K9" s="111"/>
    </row>
    <row r="10" spans="1:13" s="38" customFormat="1" ht="15" customHeight="1" x14ac:dyDescent="0.25">
      <c r="A10" s="36">
        <v>7</v>
      </c>
      <c r="B10" s="109" t="s">
        <v>29</v>
      </c>
      <c r="C10" s="36" t="s">
        <v>587</v>
      </c>
      <c r="D10" s="37">
        <v>8000000</v>
      </c>
      <c r="E10" s="37">
        <v>1500000</v>
      </c>
      <c r="F10" s="110">
        <f t="shared" si="0"/>
        <v>6500000</v>
      </c>
      <c r="G10" s="111"/>
      <c r="H10" s="111"/>
      <c r="I10" s="111"/>
      <c r="J10" s="111"/>
      <c r="K10" s="111"/>
    </row>
    <row r="11" spans="1:13" s="38" customFormat="1" ht="15" customHeight="1" x14ac:dyDescent="0.25">
      <c r="A11" s="36">
        <v>8</v>
      </c>
      <c r="B11" s="109" t="s">
        <v>596</v>
      </c>
      <c r="C11" s="36" t="s">
        <v>597</v>
      </c>
      <c r="D11" s="37">
        <v>8000000</v>
      </c>
      <c r="E11" s="37">
        <f>2000000+2000000+2000000+2000000</f>
        <v>8000000</v>
      </c>
      <c r="F11" s="110">
        <f t="shared" si="0"/>
        <v>0</v>
      </c>
      <c r="G11" s="111"/>
      <c r="H11" s="111"/>
      <c r="I11" s="111"/>
      <c r="J11" s="111"/>
      <c r="K11" s="111"/>
    </row>
    <row r="12" spans="1:13" s="38" customFormat="1" ht="15" customHeight="1" x14ac:dyDescent="0.25">
      <c r="A12" s="36">
        <v>9</v>
      </c>
      <c r="B12" s="109" t="s">
        <v>599</v>
      </c>
      <c r="C12" s="36" t="s">
        <v>587</v>
      </c>
      <c r="D12" s="37">
        <v>8000000</v>
      </c>
      <c r="E12" s="37">
        <f>2000000+1400000</f>
        <v>3400000</v>
      </c>
      <c r="F12" s="110">
        <f t="shared" si="0"/>
        <v>4600000</v>
      </c>
      <c r="G12" s="111"/>
      <c r="H12" s="111"/>
      <c r="I12" s="111"/>
      <c r="J12" s="111"/>
      <c r="K12" s="111"/>
    </row>
    <row r="13" spans="1:13" s="38" customFormat="1" ht="15" customHeight="1" x14ac:dyDescent="0.25">
      <c r="A13" s="36">
        <v>10</v>
      </c>
      <c r="B13" s="109" t="s">
        <v>598</v>
      </c>
      <c r="C13" s="36" t="s">
        <v>597</v>
      </c>
      <c r="D13" s="37">
        <v>8000000</v>
      </c>
      <c r="E13" s="37">
        <f>1000000+2000000+2000000+1500000</f>
        <v>6500000</v>
      </c>
      <c r="F13" s="110">
        <f t="shared" si="0"/>
        <v>1500000</v>
      </c>
      <c r="G13" s="111"/>
      <c r="H13" s="111"/>
      <c r="I13" s="111"/>
      <c r="J13" s="111"/>
      <c r="K13" s="111"/>
    </row>
    <row r="14" spans="1:13" s="38" customFormat="1" ht="15" customHeight="1" x14ac:dyDescent="0.25">
      <c r="A14" s="36">
        <v>11</v>
      </c>
      <c r="B14" s="109" t="s">
        <v>593</v>
      </c>
      <c r="C14" s="36" t="s">
        <v>587</v>
      </c>
      <c r="D14" s="37">
        <v>8000000</v>
      </c>
      <c r="E14" s="37">
        <f>2000000+2000000</f>
        <v>4000000</v>
      </c>
      <c r="F14" s="110">
        <f t="shared" si="0"/>
        <v>4000000</v>
      </c>
      <c r="G14" s="124" t="s">
        <v>638</v>
      </c>
      <c r="H14" s="124" t="s">
        <v>637</v>
      </c>
      <c r="I14" s="124"/>
      <c r="J14" s="124"/>
      <c r="K14" s="124"/>
      <c r="L14" s="125"/>
      <c r="M14" s="125">
        <v>1700000</v>
      </c>
    </row>
    <row r="15" spans="1:13" s="155" customFormat="1" ht="15" customHeight="1" x14ac:dyDescent="0.25">
      <c r="A15" s="150">
        <v>12</v>
      </c>
      <c r="B15" s="151" t="s">
        <v>600</v>
      </c>
      <c r="C15" s="150" t="s">
        <v>587</v>
      </c>
      <c r="D15" s="152">
        <v>8000000</v>
      </c>
      <c r="E15" s="152">
        <f>1500000+1700000+2000000</f>
        <v>5200000</v>
      </c>
      <c r="F15" s="153">
        <f t="shared" si="0"/>
        <v>2800000</v>
      </c>
      <c r="G15" s="154"/>
      <c r="H15" s="154"/>
      <c r="I15" s="154"/>
      <c r="J15" s="154"/>
      <c r="K15" s="154"/>
    </row>
    <row r="16" spans="1:13" s="38" customFormat="1" ht="15" customHeight="1" x14ac:dyDescent="0.25">
      <c r="A16" s="36">
        <v>13</v>
      </c>
      <c r="B16" s="109" t="s">
        <v>118</v>
      </c>
      <c r="C16" s="36" t="s">
        <v>597</v>
      </c>
      <c r="D16" s="37">
        <v>8000000</v>
      </c>
      <c r="E16" s="37">
        <f>2000000+1000000</f>
        <v>3000000</v>
      </c>
      <c r="F16" s="110">
        <f t="shared" si="0"/>
        <v>5000000</v>
      </c>
      <c r="G16" s="111"/>
      <c r="H16" s="111"/>
      <c r="I16" s="111"/>
      <c r="J16" s="111"/>
      <c r="K16" s="111"/>
    </row>
    <row r="17" spans="1:11" s="38" customFormat="1" ht="15" customHeight="1" x14ac:dyDescent="0.25">
      <c r="A17" s="36">
        <v>14</v>
      </c>
      <c r="B17" s="109" t="s">
        <v>574</v>
      </c>
      <c r="C17" s="36" t="s">
        <v>597</v>
      </c>
      <c r="D17" s="37">
        <v>8000000</v>
      </c>
      <c r="E17" s="37">
        <f>2000000+2500000+500000</f>
        <v>5000000</v>
      </c>
      <c r="F17" s="110">
        <f t="shared" si="0"/>
        <v>3000000</v>
      </c>
      <c r="G17" s="111"/>
      <c r="H17" s="111"/>
      <c r="I17" s="111"/>
      <c r="J17" s="111"/>
      <c r="K17" s="111"/>
    </row>
    <row r="18" spans="1:11" s="38" customFormat="1" ht="15" customHeight="1" x14ac:dyDescent="0.25">
      <c r="A18" s="36">
        <v>15</v>
      </c>
      <c r="B18" s="109" t="s">
        <v>584</v>
      </c>
      <c r="C18" s="36"/>
      <c r="D18" s="37">
        <v>8000000</v>
      </c>
      <c r="E18" s="37">
        <v>8000000</v>
      </c>
      <c r="F18" s="110">
        <f t="shared" si="0"/>
        <v>0</v>
      </c>
      <c r="G18" s="111"/>
      <c r="H18" s="111"/>
      <c r="I18" s="111"/>
      <c r="J18" s="111"/>
      <c r="K18" s="111"/>
    </row>
    <row r="19" spans="1:11" s="38" customFormat="1" ht="15" customHeight="1" x14ac:dyDescent="0.25">
      <c r="A19" s="36">
        <v>16</v>
      </c>
      <c r="B19" s="109" t="s">
        <v>223</v>
      </c>
      <c r="C19" s="36" t="s">
        <v>597</v>
      </c>
      <c r="D19" s="37">
        <v>8000000</v>
      </c>
      <c r="E19" s="37">
        <f>3000000+1000000</f>
        <v>4000000</v>
      </c>
      <c r="F19" s="110">
        <f t="shared" si="0"/>
        <v>4000000</v>
      </c>
      <c r="G19" s="111"/>
      <c r="H19" s="111"/>
      <c r="I19" s="111"/>
      <c r="J19" s="111"/>
      <c r="K19" s="111"/>
    </row>
    <row r="20" spans="1:11" s="155" customFormat="1" ht="15" customHeight="1" x14ac:dyDescent="0.25">
      <c r="A20" s="150">
        <v>17</v>
      </c>
      <c r="B20" s="151" t="s">
        <v>517</v>
      </c>
      <c r="C20" s="150" t="s">
        <v>597</v>
      </c>
      <c r="D20" s="152">
        <v>16000000</v>
      </c>
      <c r="E20" s="152">
        <f>4000000+2000000+3000000+3000000</f>
        <v>12000000</v>
      </c>
      <c r="F20" s="153">
        <f t="shared" si="0"/>
        <v>4000000</v>
      </c>
      <c r="G20" s="154"/>
      <c r="H20" s="154"/>
      <c r="I20" s="154"/>
      <c r="J20" s="154"/>
      <c r="K20" s="154"/>
    </row>
    <row r="21" spans="1:11" s="38" customFormat="1" ht="15" customHeight="1" x14ac:dyDescent="0.25">
      <c r="A21" s="36">
        <v>18</v>
      </c>
      <c r="B21" s="109" t="s">
        <v>604</v>
      </c>
      <c r="C21" s="36" t="s">
        <v>597</v>
      </c>
      <c r="D21" s="37">
        <v>8000000</v>
      </c>
      <c r="E21" s="37">
        <v>2000000</v>
      </c>
      <c r="F21" s="110">
        <f t="shared" si="0"/>
        <v>6000000</v>
      </c>
      <c r="G21" s="111"/>
      <c r="H21" s="111"/>
      <c r="I21" s="111"/>
      <c r="J21" s="111"/>
      <c r="K21" s="111"/>
    </row>
    <row r="22" spans="1:11" s="38" customFormat="1" ht="15" customHeight="1" x14ac:dyDescent="0.25">
      <c r="A22" s="36">
        <v>19</v>
      </c>
      <c r="B22" s="109" t="s">
        <v>514</v>
      </c>
      <c r="C22" s="36" t="s">
        <v>587</v>
      </c>
      <c r="D22" s="37">
        <v>8000000</v>
      </c>
      <c r="E22" s="37">
        <v>1350000</v>
      </c>
      <c r="F22" s="110">
        <f t="shared" si="0"/>
        <v>6650000</v>
      </c>
      <c r="G22" s="111"/>
      <c r="H22" s="111"/>
      <c r="I22" s="111"/>
      <c r="J22" s="111"/>
      <c r="K22" s="111"/>
    </row>
    <row r="23" spans="1:11" s="38" customFormat="1" ht="15" customHeight="1" x14ac:dyDescent="0.25">
      <c r="A23" s="36">
        <v>20</v>
      </c>
      <c r="B23" s="109" t="s">
        <v>264</v>
      </c>
      <c r="C23" s="36" t="s">
        <v>587</v>
      </c>
      <c r="D23" s="37">
        <v>8000000</v>
      </c>
      <c r="E23" s="37">
        <v>4000000</v>
      </c>
      <c r="F23" s="110">
        <f t="shared" si="0"/>
        <v>4000000</v>
      </c>
      <c r="G23" s="111"/>
      <c r="H23" s="111"/>
      <c r="I23" s="111"/>
      <c r="J23" s="111"/>
      <c r="K23" s="111"/>
    </row>
    <row r="24" spans="1:11" s="38" customFormat="1" ht="15" customHeight="1" x14ac:dyDescent="0.25">
      <c r="A24" s="36">
        <v>21</v>
      </c>
      <c r="B24" s="109" t="s">
        <v>294</v>
      </c>
      <c r="C24" s="36" t="s">
        <v>587</v>
      </c>
      <c r="D24" s="37">
        <v>8000000</v>
      </c>
      <c r="E24" s="37">
        <f>1500000+500000+1500000</f>
        <v>3500000</v>
      </c>
      <c r="F24" s="110">
        <f t="shared" si="0"/>
        <v>4500000</v>
      </c>
      <c r="G24" s="111"/>
      <c r="H24" s="111"/>
      <c r="I24" s="111"/>
      <c r="J24" s="111"/>
      <c r="K24" s="111"/>
    </row>
    <row r="25" spans="1:11" s="38" customFormat="1" ht="15" customHeight="1" x14ac:dyDescent="0.25">
      <c r="A25" s="36">
        <v>22</v>
      </c>
      <c r="B25" s="109" t="s">
        <v>13</v>
      </c>
      <c r="C25" s="36" t="s">
        <v>605</v>
      </c>
      <c r="D25" s="37">
        <v>16000000</v>
      </c>
      <c r="E25" s="37">
        <v>10000000</v>
      </c>
      <c r="F25" s="110">
        <f t="shared" si="0"/>
        <v>6000000</v>
      </c>
      <c r="G25" s="111"/>
      <c r="H25" s="111"/>
      <c r="I25" s="111"/>
      <c r="J25" s="111"/>
      <c r="K25" s="111"/>
    </row>
    <row r="26" spans="1:11" s="38" customFormat="1" ht="15" customHeight="1" x14ac:dyDescent="0.25">
      <c r="A26" s="36">
        <v>23</v>
      </c>
      <c r="B26" s="109" t="s">
        <v>607</v>
      </c>
      <c r="C26" s="36" t="s">
        <v>587</v>
      </c>
      <c r="D26" s="37">
        <v>8000000</v>
      </c>
      <c r="E26" s="37">
        <v>3000000</v>
      </c>
      <c r="F26" s="110">
        <f t="shared" si="0"/>
        <v>5000000</v>
      </c>
      <c r="G26" s="111"/>
      <c r="H26" s="111"/>
      <c r="I26" s="111"/>
      <c r="J26" s="111"/>
      <c r="K26" s="111"/>
    </row>
    <row r="27" spans="1:11" s="155" customFormat="1" ht="15" customHeight="1" x14ac:dyDescent="0.25">
      <c r="A27" s="150">
        <v>24</v>
      </c>
      <c r="B27" s="151" t="s">
        <v>296</v>
      </c>
      <c r="C27" s="150" t="s">
        <v>587</v>
      </c>
      <c r="D27" s="152">
        <v>8000000</v>
      </c>
      <c r="E27" s="152">
        <f>1000000+3000000+1000000</f>
        <v>5000000</v>
      </c>
      <c r="F27" s="153">
        <f t="shared" si="0"/>
        <v>3000000</v>
      </c>
      <c r="G27" s="154"/>
      <c r="H27" s="154"/>
      <c r="I27" s="154"/>
      <c r="J27" s="154"/>
      <c r="K27" s="154"/>
    </row>
    <row r="28" spans="1:11" s="38" customFormat="1" ht="15" customHeight="1" x14ac:dyDescent="0.25">
      <c r="A28" s="36">
        <v>25</v>
      </c>
      <c r="B28" s="109" t="s">
        <v>608</v>
      </c>
      <c r="C28" s="36" t="s">
        <v>587</v>
      </c>
      <c r="D28" s="37">
        <v>8000000</v>
      </c>
      <c r="E28" s="37">
        <f>2000000+500000</f>
        <v>2500000</v>
      </c>
      <c r="F28" s="110">
        <f t="shared" si="0"/>
        <v>5500000</v>
      </c>
      <c r="G28" s="111"/>
      <c r="H28" s="111"/>
      <c r="I28" s="111"/>
      <c r="J28" s="111"/>
      <c r="K28" s="111"/>
    </row>
    <row r="29" spans="1:11" s="38" customFormat="1" ht="15" customHeight="1" x14ac:dyDescent="0.25">
      <c r="A29" s="36">
        <v>26</v>
      </c>
      <c r="B29" s="109" t="s">
        <v>567</v>
      </c>
      <c r="C29" s="36"/>
      <c r="D29" s="37">
        <v>8000000</v>
      </c>
      <c r="E29" s="37">
        <v>1000000</v>
      </c>
      <c r="F29" s="110">
        <f t="shared" si="0"/>
        <v>7000000</v>
      </c>
      <c r="G29" s="111"/>
      <c r="H29" s="111"/>
      <c r="I29" s="111"/>
      <c r="J29" s="111"/>
      <c r="K29" s="111"/>
    </row>
    <row r="30" spans="1:11" s="38" customFormat="1" ht="15" customHeight="1" x14ac:dyDescent="0.25">
      <c r="A30" s="36">
        <v>27</v>
      </c>
      <c r="B30" s="109" t="s">
        <v>611</v>
      </c>
      <c r="C30" s="36" t="s">
        <v>597</v>
      </c>
      <c r="D30" s="37">
        <v>8000000</v>
      </c>
      <c r="E30" s="37">
        <v>3000000</v>
      </c>
      <c r="F30" s="110">
        <f t="shared" si="0"/>
        <v>5000000</v>
      </c>
      <c r="G30" s="111"/>
      <c r="H30" s="111"/>
      <c r="I30" s="111"/>
      <c r="J30" s="111"/>
      <c r="K30" s="111"/>
    </row>
    <row r="31" spans="1:11" s="38" customFormat="1" ht="15" customHeight="1" x14ac:dyDescent="0.25">
      <c r="A31" s="36">
        <v>28</v>
      </c>
      <c r="B31" s="109" t="s">
        <v>55</v>
      </c>
      <c r="C31" s="36"/>
      <c r="D31" s="37">
        <v>8000000</v>
      </c>
      <c r="E31" s="37">
        <v>2000000</v>
      </c>
      <c r="F31" s="110">
        <f t="shared" si="0"/>
        <v>6000000</v>
      </c>
      <c r="G31" s="111"/>
      <c r="H31" s="111"/>
      <c r="I31" s="111"/>
      <c r="J31" s="111"/>
      <c r="K31" s="111"/>
    </row>
    <row r="32" spans="1:11" s="189" customFormat="1" ht="15" customHeight="1" x14ac:dyDescent="0.25">
      <c r="A32" s="184">
        <v>29</v>
      </c>
      <c r="B32" s="185" t="s">
        <v>612</v>
      </c>
      <c r="C32" s="184" t="s">
        <v>587</v>
      </c>
      <c r="D32" s="186">
        <v>8000000</v>
      </c>
      <c r="E32" s="186">
        <f>1000000+6000000</f>
        <v>7000000</v>
      </c>
      <c r="F32" s="187">
        <f t="shared" si="0"/>
        <v>1000000</v>
      </c>
      <c r="G32" s="188"/>
      <c r="H32" s="188"/>
      <c r="I32" s="188"/>
      <c r="J32" s="188"/>
      <c r="K32" s="188"/>
    </row>
    <row r="33" spans="1:11" s="38" customFormat="1" ht="15" customHeight="1" x14ac:dyDescent="0.25">
      <c r="A33" s="36">
        <v>30</v>
      </c>
      <c r="B33" s="109" t="s">
        <v>550</v>
      </c>
      <c r="C33" s="36" t="s">
        <v>597</v>
      </c>
      <c r="D33" s="37">
        <v>8000000</v>
      </c>
      <c r="E33" s="37">
        <v>8000000</v>
      </c>
      <c r="F33" s="110">
        <f t="shared" si="0"/>
        <v>0</v>
      </c>
      <c r="G33" s="111"/>
      <c r="H33" s="111"/>
      <c r="I33" s="111"/>
      <c r="J33" s="111"/>
      <c r="K33" s="111"/>
    </row>
    <row r="34" spans="1:11" s="38" customFormat="1" ht="15" customHeight="1" x14ac:dyDescent="0.25">
      <c r="A34" s="36">
        <v>31</v>
      </c>
      <c r="B34" s="109" t="s">
        <v>32</v>
      </c>
      <c r="C34" s="36" t="s">
        <v>597</v>
      </c>
      <c r="D34" s="37">
        <v>8000000</v>
      </c>
      <c r="E34" s="37">
        <v>1000000</v>
      </c>
      <c r="F34" s="110">
        <f t="shared" si="0"/>
        <v>7000000</v>
      </c>
      <c r="G34" s="111"/>
      <c r="H34" s="111"/>
      <c r="I34" s="111"/>
      <c r="J34" s="111"/>
      <c r="K34" s="111"/>
    </row>
    <row r="35" spans="1:11" s="38" customFormat="1" ht="15" customHeight="1" x14ac:dyDescent="0.25">
      <c r="A35" s="36">
        <v>32</v>
      </c>
      <c r="B35" s="109" t="s">
        <v>310</v>
      </c>
      <c r="C35" s="36" t="s">
        <v>605</v>
      </c>
      <c r="D35" s="37">
        <v>16000000</v>
      </c>
      <c r="E35" s="37">
        <v>16000000</v>
      </c>
      <c r="F35" s="110">
        <f t="shared" si="0"/>
        <v>0</v>
      </c>
      <c r="G35" s="111"/>
      <c r="H35" s="111"/>
      <c r="I35" s="111"/>
      <c r="J35" s="111"/>
      <c r="K35" s="111"/>
    </row>
    <row r="36" spans="1:11" s="38" customFormat="1" ht="15" customHeight="1" x14ac:dyDescent="0.25">
      <c r="A36" s="36">
        <v>33</v>
      </c>
      <c r="B36" s="109" t="s">
        <v>486</v>
      </c>
      <c r="C36" s="36" t="s">
        <v>587</v>
      </c>
      <c r="D36" s="37">
        <v>8000000</v>
      </c>
      <c r="E36" s="37">
        <f>1000000+1000000</f>
        <v>2000000</v>
      </c>
      <c r="F36" s="110">
        <f t="shared" si="0"/>
        <v>6000000</v>
      </c>
      <c r="G36" s="111"/>
      <c r="H36" s="111"/>
      <c r="I36" s="111"/>
      <c r="J36" s="111"/>
      <c r="K36" s="111"/>
    </row>
    <row r="37" spans="1:11" s="216" customFormat="1" ht="15" customHeight="1" x14ac:dyDescent="0.25">
      <c r="A37" s="211">
        <v>34</v>
      </c>
      <c r="B37" s="212" t="s">
        <v>120</v>
      </c>
      <c r="C37" s="211" t="s">
        <v>587</v>
      </c>
      <c r="D37" s="213">
        <v>8000000</v>
      </c>
      <c r="E37" s="213">
        <f>1000000+1000000+1000000+1000000</f>
        <v>4000000</v>
      </c>
      <c r="F37" s="214">
        <f t="shared" si="0"/>
        <v>4000000</v>
      </c>
      <c r="G37" s="215"/>
      <c r="H37" s="215"/>
      <c r="I37" s="215"/>
      <c r="J37" s="215"/>
      <c r="K37" s="215"/>
    </row>
    <row r="38" spans="1:11" s="38" customFormat="1" ht="15" customHeight="1" x14ac:dyDescent="0.25">
      <c r="A38" s="36">
        <v>35</v>
      </c>
      <c r="B38" s="109" t="s">
        <v>619</v>
      </c>
      <c r="C38" s="36"/>
      <c r="D38" s="37">
        <v>8000000</v>
      </c>
      <c r="E38" s="37">
        <f>2000000+1500000</f>
        <v>3500000</v>
      </c>
      <c r="F38" s="110">
        <f t="shared" si="0"/>
        <v>4500000</v>
      </c>
      <c r="G38" s="111"/>
      <c r="H38" s="111"/>
      <c r="I38" s="111"/>
      <c r="J38" s="111"/>
      <c r="K38" s="111"/>
    </row>
    <row r="39" spans="1:11" s="38" customFormat="1" ht="15" customHeight="1" x14ac:dyDescent="0.25">
      <c r="A39" s="36">
        <v>36</v>
      </c>
      <c r="B39" s="109" t="s">
        <v>621</v>
      </c>
      <c r="C39" s="36" t="s">
        <v>587</v>
      </c>
      <c r="D39" s="37">
        <v>8000000</v>
      </c>
      <c r="E39" s="37">
        <f>5000000+1000000</f>
        <v>6000000</v>
      </c>
      <c r="F39" s="110">
        <f t="shared" si="0"/>
        <v>2000000</v>
      </c>
      <c r="G39" s="111"/>
      <c r="H39" s="111"/>
      <c r="I39" s="111"/>
      <c r="J39" s="111"/>
      <c r="K39" s="111"/>
    </row>
    <row r="40" spans="1:11" s="149" customFormat="1" ht="15" customHeight="1" x14ac:dyDescent="0.25">
      <c r="A40" s="144">
        <v>37</v>
      </c>
      <c r="B40" s="145" t="s">
        <v>552</v>
      </c>
      <c r="C40" s="144" t="s">
        <v>587</v>
      </c>
      <c r="D40" s="146">
        <v>8000000</v>
      </c>
      <c r="E40" s="146">
        <v>4000000</v>
      </c>
      <c r="F40" s="147">
        <f t="shared" si="0"/>
        <v>4000000</v>
      </c>
      <c r="G40" s="148"/>
      <c r="H40" s="148"/>
      <c r="I40" s="148"/>
      <c r="J40" s="148"/>
      <c r="K40" s="148"/>
    </row>
    <row r="41" spans="1:11" s="38" customFormat="1" ht="15" customHeight="1" x14ac:dyDescent="0.25">
      <c r="A41" s="36">
        <v>38</v>
      </c>
      <c r="B41" s="109" t="s">
        <v>303</v>
      </c>
      <c r="C41" s="36" t="s">
        <v>587</v>
      </c>
      <c r="D41" s="37">
        <v>8000000</v>
      </c>
      <c r="E41" s="37">
        <v>1000000</v>
      </c>
      <c r="F41" s="110">
        <f t="shared" si="0"/>
        <v>7000000</v>
      </c>
      <c r="G41" s="111"/>
      <c r="H41" s="111"/>
      <c r="I41" s="111"/>
      <c r="J41" s="111"/>
      <c r="K41" s="111"/>
    </row>
    <row r="42" spans="1:11" s="38" customFormat="1" ht="15" customHeight="1" x14ac:dyDescent="0.25">
      <c r="A42" s="36">
        <v>39</v>
      </c>
      <c r="B42" s="109" t="s">
        <v>538</v>
      </c>
      <c r="C42" s="36" t="s">
        <v>587</v>
      </c>
      <c r="D42" s="37">
        <v>8000000</v>
      </c>
      <c r="E42" s="37">
        <v>2000000</v>
      </c>
      <c r="F42" s="110">
        <f t="shared" si="0"/>
        <v>6000000</v>
      </c>
      <c r="G42" s="111"/>
      <c r="H42" s="111"/>
      <c r="I42" s="111"/>
      <c r="J42" s="111"/>
      <c r="K42" s="111"/>
    </row>
    <row r="43" spans="1:11" s="38" customFormat="1" ht="15" customHeight="1" x14ac:dyDescent="0.25">
      <c r="A43" s="36">
        <v>40</v>
      </c>
      <c r="B43" s="109" t="s">
        <v>112</v>
      </c>
      <c r="C43" s="36" t="s">
        <v>587</v>
      </c>
      <c r="D43" s="37">
        <v>8000000</v>
      </c>
      <c r="E43" s="37">
        <v>7000000</v>
      </c>
      <c r="F43" s="110">
        <f t="shared" si="0"/>
        <v>1000000</v>
      </c>
      <c r="G43" s="111"/>
      <c r="H43" s="111"/>
      <c r="I43" s="111"/>
      <c r="J43" s="111"/>
      <c r="K43" s="111"/>
    </row>
    <row r="44" spans="1:11" s="38" customFormat="1" ht="15" customHeight="1" x14ac:dyDescent="0.25">
      <c r="A44" s="36">
        <v>41</v>
      </c>
      <c r="B44" s="109" t="s">
        <v>199</v>
      </c>
      <c r="C44" s="36"/>
      <c r="D44" s="37">
        <v>8000000</v>
      </c>
      <c r="E44" s="37">
        <v>2000000</v>
      </c>
      <c r="F44" s="110">
        <f t="shared" si="0"/>
        <v>6000000</v>
      </c>
      <c r="G44" s="111"/>
      <c r="H44" s="111"/>
      <c r="I44" s="111"/>
      <c r="J44" s="111"/>
      <c r="K44" s="111"/>
    </row>
    <row r="45" spans="1:11" s="38" customFormat="1" ht="15" customHeight="1" x14ac:dyDescent="0.25">
      <c r="A45" s="36">
        <v>42</v>
      </c>
      <c r="B45" s="109" t="s">
        <v>114</v>
      </c>
      <c r="C45" s="36" t="s">
        <v>587</v>
      </c>
      <c r="D45" s="37">
        <v>8000000</v>
      </c>
      <c r="E45" s="37">
        <v>8000000</v>
      </c>
      <c r="F45" s="110">
        <f t="shared" si="0"/>
        <v>0</v>
      </c>
      <c r="G45" s="111"/>
      <c r="H45" s="111"/>
      <c r="I45" s="111"/>
      <c r="J45" s="111"/>
      <c r="K45" s="111"/>
    </row>
    <row r="46" spans="1:11" s="38" customFormat="1" ht="15" customHeight="1" x14ac:dyDescent="0.25">
      <c r="A46" s="36">
        <v>43</v>
      </c>
      <c r="B46" s="109" t="s">
        <v>632</v>
      </c>
      <c r="C46" s="36"/>
      <c r="D46" s="37">
        <v>8000000</v>
      </c>
      <c r="E46" s="37">
        <v>3000000</v>
      </c>
      <c r="F46" s="110">
        <f t="shared" si="0"/>
        <v>5000000</v>
      </c>
      <c r="G46" s="111"/>
      <c r="H46" s="111"/>
      <c r="I46" s="111"/>
      <c r="J46" s="111"/>
      <c r="K46" s="111"/>
    </row>
    <row r="47" spans="1:11" s="38" customFormat="1" ht="15" customHeight="1" x14ac:dyDescent="0.25">
      <c r="A47" s="36">
        <v>44</v>
      </c>
      <c r="B47" s="109" t="s">
        <v>633</v>
      </c>
      <c r="C47" s="36"/>
      <c r="D47" s="37">
        <v>8000000</v>
      </c>
      <c r="E47" s="37">
        <v>1000000</v>
      </c>
      <c r="F47" s="110">
        <f t="shared" si="0"/>
        <v>7000000</v>
      </c>
      <c r="G47" s="111"/>
      <c r="H47" s="111"/>
      <c r="I47" s="111"/>
      <c r="J47" s="111"/>
      <c r="K47" s="111"/>
    </row>
    <row r="48" spans="1:11" s="38" customFormat="1" ht="15" customHeight="1" x14ac:dyDescent="0.25">
      <c r="A48" s="36">
        <v>45</v>
      </c>
      <c r="B48" s="109" t="s">
        <v>240</v>
      </c>
      <c r="C48" s="36" t="s">
        <v>587</v>
      </c>
      <c r="D48" s="37">
        <v>16000000</v>
      </c>
      <c r="E48" s="37">
        <f>1000000+4700000</f>
        <v>5700000</v>
      </c>
      <c r="F48" s="110">
        <f t="shared" si="0"/>
        <v>10300000</v>
      </c>
      <c r="G48" s="111"/>
      <c r="H48" s="111"/>
      <c r="I48" s="111"/>
      <c r="J48" s="111"/>
      <c r="K48" s="111"/>
    </row>
    <row r="49" spans="1:11" s="38" customFormat="1" ht="15" customHeight="1" x14ac:dyDescent="0.25">
      <c r="A49" s="36">
        <v>46</v>
      </c>
      <c r="B49" s="109" t="s">
        <v>153</v>
      </c>
      <c r="C49" s="36" t="s">
        <v>587</v>
      </c>
      <c r="D49" s="37">
        <v>8000000</v>
      </c>
      <c r="E49" s="37">
        <f>3000000+1900000</f>
        <v>4900000</v>
      </c>
      <c r="F49" s="110">
        <f t="shared" si="0"/>
        <v>3100000</v>
      </c>
      <c r="G49" s="111"/>
      <c r="H49" s="111"/>
      <c r="I49" s="111"/>
      <c r="J49" s="111"/>
      <c r="K49" s="111"/>
    </row>
    <row r="50" spans="1:11" s="38" customFormat="1" ht="15" customHeight="1" x14ac:dyDescent="0.25">
      <c r="A50" s="36">
        <v>47</v>
      </c>
      <c r="B50" s="109" t="s">
        <v>146</v>
      </c>
      <c r="C50" s="36"/>
      <c r="D50" s="37">
        <v>8000000</v>
      </c>
      <c r="E50" s="37">
        <v>4000000</v>
      </c>
      <c r="F50" s="110">
        <f t="shared" si="0"/>
        <v>4000000</v>
      </c>
      <c r="G50" s="111"/>
      <c r="H50" s="111"/>
      <c r="I50" s="111"/>
      <c r="J50" s="111"/>
      <c r="K50" s="111"/>
    </row>
    <row r="51" spans="1:11" s="38" customFormat="1" ht="15" customHeight="1" x14ac:dyDescent="0.25">
      <c r="A51" s="36">
        <v>48</v>
      </c>
      <c r="B51" s="109" t="s">
        <v>591</v>
      </c>
      <c r="C51" s="36" t="s">
        <v>587</v>
      </c>
      <c r="D51" s="37">
        <v>8000000</v>
      </c>
      <c r="E51" s="37">
        <v>4000000</v>
      </c>
      <c r="F51" s="110">
        <f t="shared" si="0"/>
        <v>4000000</v>
      </c>
      <c r="G51" s="111"/>
      <c r="H51" s="111"/>
      <c r="I51" s="111"/>
      <c r="J51" s="111"/>
      <c r="K51" s="111"/>
    </row>
    <row r="52" spans="1:11" s="38" customFormat="1" ht="15" customHeight="1" x14ac:dyDescent="0.25">
      <c r="A52" s="36">
        <v>49</v>
      </c>
      <c r="B52" s="109" t="s">
        <v>639</v>
      </c>
      <c r="C52" s="36"/>
      <c r="D52" s="37">
        <v>8000000</v>
      </c>
      <c r="E52" s="37">
        <v>8000000</v>
      </c>
      <c r="F52" s="110">
        <f t="shared" si="0"/>
        <v>0</v>
      </c>
      <c r="G52" s="111"/>
      <c r="H52" s="111"/>
      <c r="I52" s="111"/>
      <c r="J52" s="111"/>
      <c r="K52" s="111"/>
    </row>
    <row r="53" spans="1:11" s="139" customFormat="1" ht="15" customHeight="1" x14ac:dyDescent="0.25">
      <c r="A53" s="134">
        <v>50</v>
      </c>
      <c r="B53" s="135" t="s">
        <v>640</v>
      </c>
      <c r="C53" s="134"/>
      <c r="D53" s="136">
        <v>16000000</v>
      </c>
      <c r="E53" s="136">
        <v>1160000</v>
      </c>
      <c r="F53" s="137">
        <f t="shared" si="0"/>
        <v>14840000</v>
      </c>
      <c r="G53" s="138"/>
      <c r="H53" s="138"/>
      <c r="I53" s="138"/>
      <c r="J53" s="138"/>
      <c r="K53" s="138"/>
    </row>
    <row r="54" spans="1:11" s="139" customFormat="1" ht="15" customHeight="1" x14ac:dyDescent="0.25">
      <c r="A54" s="134">
        <v>51</v>
      </c>
      <c r="B54" s="135" t="s">
        <v>175</v>
      </c>
      <c r="C54" s="134"/>
      <c r="D54" s="136">
        <v>8000000</v>
      </c>
      <c r="E54" s="136">
        <v>1350000</v>
      </c>
      <c r="F54" s="137">
        <f t="shared" si="0"/>
        <v>6650000</v>
      </c>
      <c r="G54" s="138"/>
      <c r="H54" s="138"/>
      <c r="I54" s="138"/>
      <c r="J54" s="138"/>
      <c r="K54" s="138"/>
    </row>
    <row r="55" spans="1:11" s="155" customFormat="1" ht="15" customHeight="1" x14ac:dyDescent="0.25">
      <c r="A55" s="150">
        <v>52</v>
      </c>
      <c r="B55" s="151" t="s">
        <v>642</v>
      </c>
      <c r="C55" s="150"/>
      <c r="D55" s="152">
        <v>8000000</v>
      </c>
      <c r="E55" s="152">
        <v>1800000</v>
      </c>
      <c r="F55" s="153">
        <f t="shared" si="0"/>
        <v>6200000</v>
      </c>
      <c r="G55" s="154"/>
      <c r="H55" s="154"/>
      <c r="I55" s="154"/>
      <c r="J55" s="154"/>
      <c r="K55" s="154"/>
    </row>
    <row r="56" spans="1:11" s="189" customFormat="1" ht="15" customHeight="1" x14ac:dyDescent="0.25">
      <c r="A56" s="184">
        <v>53</v>
      </c>
      <c r="B56" s="185" t="s">
        <v>281</v>
      </c>
      <c r="C56" s="184"/>
      <c r="D56" s="186">
        <v>16000000</v>
      </c>
      <c r="E56" s="186">
        <v>16000000</v>
      </c>
      <c r="F56" s="187">
        <f t="shared" si="0"/>
        <v>0</v>
      </c>
      <c r="G56" s="188"/>
      <c r="H56" s="188"/>
      <c r="I56" s="188"/>
      <c r="J56" s="188"/>
      <c r="K56" s="188"/>
    </row>
    <row r="57" spans="1:11" s="216" customFormat="1" ht="15" customHeight="1" x14ac:dyDescent="0.25">
      <c r="A57" s="211">
        <v>54</v>
      </c>
      <c r="B57" s="212" t="s">
        <v>443</v>
      </c>
      <c r="C57" s="211" t="s">
        <v>587</v>
      </c>
      <c r="D57" s="213">
        <v>8000000</v>
      </c>
      <c r="E57" s="213">
        <v>2000000</v>
      </c>
      <c r="F57" s="214">
        <f t="shared" si="0"/>
        <v>6000000</v>
      </c>
      <c r="G57" s="215"/>
      <c r="H57" s="215"/>
      <c r="I57" s="215"/>
      <c r="J57" s="215"/>
      <c r="K57" s="215"/>
    </row>
    <row r="58" spans="1:11" s="38" customFormat="1" ht="15" customHeight="1" x14ac:dyDescent="0.25">
      <c r="A58" s="36"/>
      <c r="B58" s="109"/>
      <c r="C58" s="36"/>
      <c r="D58" s="37"/>
      <c r="E58" s="37"/>
      <c r="F58" s="110">
        <f t="shared" si="0"/>
        <v>0</v>
      </c>
      <c r="G58" s="111"/>
      <c r="H58" s="111"/>
      <c r="I58" s="111"/>
      <c r="J58" s="111"/>
      <c r="K58" s="111"/>
    </row>
    <row r="59" spans="1:11" s="38" customFormat="1" ht="15" customHeight="1" x14ac:dyDescent="0.25">
      <c r="A59" s="36"/>
      <c r="B59" s="109"/>
      <c r="C59" s="36"/>
      <c r="D59" s="37"/>
      <c r="E59" s="37"/>
      <c r="F59" s="110">
        <f t="shared" si="0"/>
        <v>0</v>
      </c>
      <c r="G59" s="111"/>
      <c r="H59" s="111"/>
      <c r="I59" s="111"/>
      <c r="J59" s="111"/>
      <c r="K59" s="111"/>
    </row>
    <row r="60" spans="1:11" s="38" customFormat="1" ht="15" customHeight="1" x14ac:dyDescent="0.25">
      <c r="A60" s="36"/>
      <c r="B60" s="109"/>
      <c r="C60" s="36"/>
      <c r="D60" s="37"/>
      <c r="E60" s="37"/>
      <c r="F60" s="110">
        <f t="shared" si="0"/>
        <v>0</v>
      </c>
      <c r="G60" s="111"/>
      <c r="H60" s="111"/>
      <c r="I60" s="111"/>
      <c r="J60" s="111"/>
      <c r="K60" s="111"/>
    </row>
    <row r="61" spans="1:11" s="38" customFormat="1" ht="15" customHeight="1" x14ac:dyDescent="0.25">
      <c r="A61" s="36"/>
      <c r="B61" s="109"/>
      <c r="C61" s="36"/>
      <c r="D61" s="37"/>
      <c r="E61" s="37"/>
      <c r="F61" s="110">
        <f t="shared" si="0"/>
        <v>0</v>
      </c>
      <c r="G61" s="111"/>
      <c r="H61" s="111"/>
      <c r="I61" s="111"/>
      <c r="J61" s="111"/>
      <c r="K61" s="111"/>
    </row>
    <row r="62" spans="1:11" s="38" customFormat="1" ht="15" customHeight="1" x14ac:dyDescent="0.25">
      <c r="A62" s="36"/>
      <c r="B62" s="109"/>
      <c r="C62" s="36"/>
      <c r="D62" s="37"/>
      <c r="E62" s="37"/>
      <c r="F62" s="110">
        <f t="shared" si="0"/>
        <v>0</v>
      </c>
      <c r="G62" s="111"/>
      <c r="H62" s="111"/>
      <c r="I62" s="111"/>
      <c r="J62" s="111"/>
      <c r="K62" s="111"/>
    </row>
    <row r="63" spans="1:11" s="38" customFormat="1" ht="15" customHeight="1" x14ac:dyDescent="0.25">
      <c r="A63" s="36"/>
      <c r="B63" s="109"/>
      <c r="C63" s="36"/>
      <c r="D63" s="37"/>
      <c r="E63" s="37"/>
      <c r="F63" s="110">
        <f t="shared" si="0"/>
        <v>0</v>
      </c>
      <c r="G63" s="111"/>
      <c r="H63" s="111"/>
      <c r="I63" s="111"/>
      <c r="J63" s="111"/>
      <c r="K63" s="111"/>
    </row>
    <row r="64" spans="1:11" ht="15" customHeight="1" x14ac:dyDescent="0.25">
      <c r="A64" s="31"/>
      <c r="B64" s="105"/>
      <c r="C64" s="31"/>
      <c r="D64" s="32"/>
      <c r="E64" s="32"/>
      <c r="F64" s="41">
        <f t="shared" si="0"/>
        <v>0</v>
      </c>
      <c r="G64" s="99"/>
      <c r="H64" s="99"/>
      <c r="I64" s="99"/>
      <c r="J64" s="99"/>
      <c r="K64" s="99"/>
    </row>
    <row r="65" spans="1:11" x14ac:dyDescent="0.25">
      <c r="A65" s="31"/>
      <c r="B65" s="105"/>
      <c r="C65" s="31"/>
      <c r="D65" s="32"/>
      <c r="E65" s="32">
        <f>SUM(E4:E64)</f>
        <v>249860000</v>
      </c>
      <c r="F65" s="41">
        <f>SUM(F4:F64)</f>
        <v>230140000</v>
      </c>
      <c r="G65" s="99"/>
      <c r="H65" s="99"/>
      <c r="I65" s="99"/>
      <c r="J65" s="99"/>
      <c r="K65" s="99"/>
    </row>
    <row r="68" spans="1:11" x14ac:dyDescent="0.25">
      <c r="C68" s="99"/>
      <c r="D68" s="99"/>
    </row>
  </sheetData>
  <mergeCells count="1">
    <mergeCell ref="A2:F2"/>
  </mergeCells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MEMBERSHIP</vt:lpstr>
      <vt:lpstr>FARM LIST</vt:lpstr>
      <vt:lpstr>JUNE MEMBERSHIP</vt:lpstr>
      <vt:lpstr>PIONEER</vt:lpstr>
      <vt:lpstr>PHASE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JBS SACCO</cp:lastModifiedBy>
  <dcterms:created xsi:type="dcterms:W3CDTF">2026-01-30T09:11:42Z</dcterms:created>
  <dcterms:modified xsi:type="dcterms:W3CDTF">2026-07-06T13:55:23Z</dcterms:modified>
</cp:coreProperties>
</file>